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se_Comparison" sheetId="2" state="visible" r:id="rId4"/>
    <sheet name="PriceBook" sheetId="3" state="visible" r:id="rId5"/>
    <sheet name="Model" sheetId="4" state="visible" r:id="rId6"/>
    <sheet name="Notes_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<sst xmlns="http://schemas.openxmlformats.org/spreadsheetml/2006/main" count="307" uniqueCount="150">
  <si>
    <t xml:space="preserve">A&amp;H Fleet OS SaaS - unit economics assumptions (yellow cells are editable)</t>
  </si>
  <si>
    <t xml:space="preserve">Cost case (1=Low, 2=Base, 3=High)</t>
  </si>
  <si>
    <t xml:space="preserve">Selected case</t>
  </si>
  <si>
    <t xml:space="preserve">Assumption</t>
  </si>
  <si>
    <t xml:space="preserve">Low</t>
  </si>
  <si>
    <t xml:space="preserve">Base</t>
  </si>
  <si>
    <t xml:space="preserve">High</t>
  </si>
  <si>
    <t xml:space="preserve">SELECTED</t>
  </si>
  <si>
    <t xml:space="preserve">Unit</t>
  </si>
  <si>
    <t xml:space="preserve">Note</t>
  </si>
  <si>
    <t xml:space="preserve">Loads per truck per week</t>
  </si>
  <si>
    <t xml:space="preserve">loads</t>
  </si>
  <si>
    <t xml:space="preserve">Given by Abdel</t>
  </si>
  <si>
    <t xml:space="preserve">Weeks per month</t>
  </si>
  <si>
    <t xml:space="preserve">Share of loads booked through AI Dispatcher</t>
  </si>
  <si>
    <t xml:space="preserve">%</t>
  </si>
  <si>
    <t xml:space="preserve">Stress case = 100% (Abdel's assumption). Real adoption likely 30-70%</t>
  </si>
  <si>
    <t xml:space="preserve">AI voice minutes per booked load (all calls incl. voicemail/hold)</t>
  </si>
  <si>
    <t xml:space="preserve">min</t>
  </si>
  <si>
    <t xml:space="preserve">Base ~3 calls x 3 min. High = long negotiations/holds</t>
  </si>
  <si>
    <t xml:space="preserve">All-in voice cost per minute (Vapi $0.05 + STT + LLM + TTS + Twilio $0.014)</t>
  </si>
  <si>
    <t xml:space="preserve">$/min</t>
  </si>
  <si>
    <t xml:space="preserve">Third-party estimates range $0.07-$0.31/min; verify on vendor pages</t>
  </si>
  <si>
    <t xml:space="preserve">LLM input tokens per booked load (email, ratecon/BOL/POD parse, matching, call summaries, retries)</t>
  </si>
  <si>
    <t xml:space="preserve">tokens</t>
  </si>
  <si>
    <t xml:space="preserve">Estimate; measure in pilot</t>
  </si>
  <si>
    <t xml:space="preserve">LLM output tokens per booked load</t>
  </si>
  <si>
    <t xml:space="preserve">Blended LLM input price per 1M tokens</t>
  </si>
  <si>
    <t xml:space="preserve">$/1M</t>
  </si>
  <si>
    <t xml:space="preserve">Low=Haiku 5.5 ($0.10). Base=80% Gemini 2.5 Flash ($0.30)+20% Sonnet 5.5 ($2). High=all Sonnet 5.5</t>
  </si>
  <si>
    <t xml:space="preserve">Blended LLM output price per 1M tokens</t>
  </si>
  <si>
    <t xml:space="preserve">Low=Haiku 5.5 ($0.50). Base=80% Flash ($2.50)+20% Sonnet 5.5 ($10). High=all Sonnet 5.5</t>
  </si>
  <si>
    <t xml:space="preserve">SMS per booked load (driver alerts, broker/driver confirmations)</t>
  </si>
  <si>
    <t xml:space="preserve">msgs</t>
  </si>
  <si>
    <t xml:space="preserve">Cost per SMS segment (Twilio $0.0079 + ~$0.003 carrier fee)</t>
  </si>
  <si>
    <t xml:space="preserve">$</t>
  </si>
  <si>
    <t xml:space="preserve">10DLC registration extra</t>
  </si>
  <si>
    <t xml:space="preserve">Emails per booked load (outreach, replies, BOL/POD notices, invoice)</t>
  </si>
  <si>
    <t xml:space="preserve">emails</t>
  </si>
  <si>
    <t xml:space="preserve">Cost per email (Resend overage $0.90/1k)</t>
  </si>
  <si>
    <t xml:space="preserve">Maps/distance/geocoding per booked load</t>
  </si>
  <si>
    <t xml:space="preserve">Google Maps APIs</t>
  </si>
  <si>
    <t xml:space="preserve">Other variable cost per truck/month (DVIR AI photos, push, storage growth, ELD sync)</t>
  </si>
  <si>
    <t xml:space="preserve">DVIR photo AI ~ $0.15/truck/mo; storage grows with retention</t>
  </si>
  <si>
    <t xml:space="preserve">Payment processing % of revenue (card 2.9% / ACH 0.8%, blended)</t>
  </si>
  <si>
    <t xml:space="preserve">Stripe</t>
  </si>
  <si>
    <t xml:space="preserve">Payment processing fixed fee per month</t>
  </si>
  <si>
    <t xml:space="preserve">Recruiting variable cost per engaged lead (SMS cadence + 2 AI calls + LLM)</t>
  </si>
  <si>
    <t xml:space="preserve">Excludes background checks (pass-through)</t>
  </si>
  <si>
    <t xml:space="preserve">Fixed per-tenant costs by carrier size ($/month)</t>
  </si>
  <si>
    <t xml:space="preserve">Item</t>
  </si>
  <si>
    <t xml:space="preserve">Infra - 2 trucks</t>
  </si>
  <si>
    <t xml:space="preserve">Infra - 10 trucks</t>
  </si>
  <si>
    <t xml:space="preserve">Infra - 25 trucks</t>
  </si>
  <si>
    <t xml:space="preserve">Infra - 100 trucks</t>
  </si>
  <si>
    <t xml:space="preserve">Support+success - 2 trucks</t>
  </si>
  <si>
    <t xml:space="preserve">Support+success - 10 trucks</t>
  </si>
  <si>
    <t xml:space="preserve">Support+success - 25 trucks</t>
  </si>
  <si>
    <t xml:space="preserve">Support+success - 100 trucks</t>
  </si>
  <si>
    <t xml:space="preserve">Engaged recruiting leads per month (when Recruiting add-on is on)</t>
  </si>
  <si>
    <t xml:space="preserve">Leads/month - 2 trucks</t>
  </si>
  <si>
    <t xml:space="preserve">Leads/month - 10 trucks</t>
  </si>
  <si>
    <t xml:space="preserve">Leads/month - 25 trucks</t>
  </si>
  <si>
    <t xml:space="preserve">Leads/month - 100 trucks</t>
  </si>
  <si>
    <t xml:space="preserve">Gross margin by cost case (static values from the model; re-run by changing Assumptions!B2)</t>
  </si>
  <si>
    <t xml:space="preserve">Metric</t>
  </si>
  <si>
    <t xml:space="preserve">Price book</t>
  </si>
  <si>
    <t xml:space="preserve">Cost case</t>
  </si>
  <si>
    <t xml:space="preserve">2 trucks</t>
  </si>
  <si>
    <t xml:space="preserve">10 trucks</t>
  </si>
  <si>
    <t xml:space="preserve">25 trucks</t>
  </si>
  <si>
    <t xml:space="preserve">100 trucks</t>
  </si>
  <si>
    <t xml:space="preserve">AI cost per booked load</t>
  </si>
  <si>
    <t xml:space="preserve">n/a</t>
  </si>
  <si>
    <t xml:space="preserve">Gross margin platform only</t>
  </si>
  <si>
    <t xml:space="preserve">v1 first draft</t>
  </si>
  <si>
    <t xml:space="preserve">Gross margin platform + AI Dispatcher</t>
  </si>
  <si>
    <t xml:space="preserve">Gross margin platform + AI + Recruiting</t>
  </si>
  <si>
    <t xml:space="preserve">v2 proposed</t>
  </si>
  <si>
    <t xml:space="preserve">GROSS PROFIT platform + AI Dispatcher</t>
  </si>
  <si>
    <t xml:space="preserve">GROSS PROFIT platform + AI + Recruiting</t>
  </si>
  <si>
    <t xml:space="preserve">Price books (hypotheses - yellow cells editable)</t>
  </si>
  <si>
    <t xml:space="preserve">v1 (first draft)</t>
  </si>
  <si>
    <t xml:space="preserve">v2 (proposed)</t>
  </si>
  <si>
    <t xml:space="preserve">Starter flat monthly price</t>
  </si>
  <si>
    <t xml:space="preserve">v1: &lt;=3 trucks; v2: &lt;=5 trucks</t>
  </si>
  <si>
    <t xml:space="preserve">Starter included trucks</t>
  </si>
  <si>
    <t xml:space="preserve">Starter price per extra truck</t>
  </si>
  <si>
    <t xml:space="preserve">Fleet per-truck price</t>
  </si>
  <si>
    <t xml:space="preserve">6-50 trucks</t>
  </si>
  <si>
    <t xml:space="preserve">Fleet monthly minimum</t>
  </si>
  <si>
    <t xml:space="preserve">Enterprise per-truck price</t>
  </si>
  <si>
    <t xml:space="preserve">51+ trucks</t>
  </si>
  <si>
    <t xml:space="preserve">Enterprise monthly minimum</t>
  </si>
  <si>
    <t xml:space="preserve">plus one-time onboarding fee (not modeled)</t>
  </si>
  <si>
    <t xml:space="preserve">AI Dispatcher base fee / month</t>
  </si>
  <si>
    <t xml:space="preserve">v1 included 200 actions</t>
  </si>
  <si>
    <t xml:space="preserve">AI Dispatcher included booked loads</t>
  </si>
  <si>
    <t xml:space="preserve">v1 only</t>
  </si>
  <si>
    <t xml:space="preserve">v1 price per booked load beyond included</t>
  </si>
  <si>
    <t xml:space="preserve">v2 price per booked load, first 200/month</t>
  </si>
  <si>
    <t xml:space="preserve">v2 only</t>
  </si>
  <si>
    <t xml:space="preserve">v2 price per booked load, 201-1000</t>
  </si>
  <si>
    <t xml:space="preserve">v2 price per booked load, above 1000</t>
  </si>
  <si>
    <t xml:space="preserve">Recruiting add-on base fee / month</t>
  </si>
  <si>
    <t xml:space="preserve">Recruiting price per engaged lead</t>
  </si>
  <si>
    <t xml:space="preserve">v1 had metered usage unspecified</t>
  </si>
  <si>
    <t xml:space="preserve">Monthly economics per carrier size (uses SELECTED cost case on Assumptions sheet)</t>
  </si>
  <si>
    <t xml:space="preserve">Line</t>
  </si>
  <si>
    <t xml:space="preserve">Trucks</t>
  </si>
  <si>
    <t xml:space="preserve">#</t>
  </si>
  <si>
    <t xml:space="preserve">Loads per month (all)</t>
  </si>
  <si>
    <t xml:space="preserve">AI-booked loads per month</t>
  </si>
  <si>
    <t xml:space="preserve">Voice cost (AI calls)</t>
  </si>
  <si>
    <t xml:space="preserve">$/mo</t>
  </si>
  <si>
    <t xml:space="preserve">LLM token cost</t>
  </si>
  <si>
    <t xml:space="preserve">SMS cost</t>
  </si>
  <si>
    <t xml:space="preserve">Email cost</t>
  </si>
  <si>
    <t xml:space="preserve">Maps cost</t>
  </si>
  <si>
    <t xml:space="preserve">AI dispatcher variable cost total</t>
  </si>
  <si>
    <t xml:space="preserve">$/load</t>
  </si>
  <si>
    <t xml:space="preserve">Other variable cost (DVIR AI, push, storage)</t>
  </si>
  <si>
    <t xml:space="preserve">Infra share (database, storage, egress)</t>
  </si>
  <si>
    <t xml:space="preserve">Support + success allocation</t>
  </si>
  <si>
    <t xml:space="preserve">[v1 first-draft prices] Platform subscription revenue</t>
  </si>
  <si>
    <t xml:space="preserve">[v1 first-draft prices] AI Dispatcher add-on revenue</t>
  </si>
  <si>
    <t xml:space="preserve">[v1 first-draft prices] Recruiting add-on revenue</t>
  </si>
  <si>
    <t xml:space="preserve">   payment fees (platform only)</t>
  </si>
  <si>
    <t xml:space="preserve">   payment fees (platform + AI)</t>
  </si>
  <si>
    <t xml:space="preserve">   payment fees (all add-ons)</t>
  </si>
  <si>
    <t xml:space="preserve">   GROSS PROFIT platform only</t>
  </si>
  <si>
    <t xml:space="preserve">   Gross margin platform only</t>
  </si>
  <si>
    <t xml:space="preserve">   GROSS PROFIT platform + AI Dispatcher</t>
  </si>
  <si>
    <t xml:space="preserve">   Gross margin platform + AI Dispatcher</t>
  </si>
  <si>
    <t xml:space="preserve">   GROSS PROFIT platform + AI + Recruiting</t>
  </si>
  <si>
    <t xml:space="preserve">   Gross margin platform + AI + Recruiting</t>
  </si>
  <si>
    <t xml:space="preserve">   Total revenue (platform + AI + Recruiting)</t>
  </si>
  <si>
    <t xml:space="preserve">   Total cost (platform + AI + Recruiting)</t>
  </si>
  <si>
    <t xml:space="preserve">[v2 proposed prices] Platform subscription revenue</t>
  </si>
  <si>
    <t xml:space="preserve">[v2 proposed prices] AI Dispatcher add-on revenue</t>
  </si>
  <si>
    <t xml:space="preserve">[v2 proposed prices] Recruiting add-on revenue</t>
  </si>
  <si>
    <t xml:space="preserve">Recruiting add-on variable cost (leads x cost/lead)</t>
  </si>
  <si>
    <t xml:space="preserve">AI price per booked load needed for 60% gross margin on AI usage</t>
  </si>
  <si>
    <t xml:space="preserve">AI price per booked load needed for 50% gross margin on AI usage</t>
  </si>
  <si>
    <t xml:space="preserve">WHAT THIS MODEL IS: a gross-margin model (variable + allocated costs vs. price). It does NOT include engineering salaries, Lovable/Supabase platform plan costs beyond per-tenant allocation, sales &amp; marketing/CAC, legal/compliance, churn, free trials, bad debt, taxes, one-time onboarding, or load board subscriptions (customers pay their own DAT/123Loadboard/Truckstop).</t>
  </si>
  <si>
    <t xml:space="preserve">STRESS ASSUMPTION: 4 loads/truck/week and 100% of loads booked via the AI Dispatcher (Abdel's assumption). Real adoption will likely be lower; AI revenue and cost scale together so AI margin % is unchanged, but platform-only revenue then dominates.</t>
  </si>
  <si>
    <t xml:space="preserve">VERIFIED PRICES (this session): Claude Haiku 5.5 $0.10/$0.50 per 1M tokens (&lt;=100K prompts); Sonnet 5.5 $2/$10; Opus 5.5 $4/$20; Fable 5.1 $10/$50 (claude-api skill cached 2026-10-06).</t>
  </si>
  <si>
    <t xml:space="preserve">THIRD-PARTY / UNVERIFIED PRICES: Gemini 2.5 Flash $0.30/$2.50 (trackers citing ai.google.dev/gemini-api/docs/pricing); Vapi $0.05/min orchestration + STT/LLM/TTS/telephony separately, all-in $0.07-$0.31/min depending on source (zeeg.me, 11x.ai, techsy.io, speechify.ai); Twilio SMS ~$0.0079 + ~$0.003 carrier surcharge, voice ~$0.013-0.014/min, local number $1.15/mo, 10DLC campaign ~$10/mo + $4 brand/$15 campaign setup; Resend Pro $20/50k emails, overage $0.90/1k; Supabase Pro $25/mo + usage; Stripe ACH 0.8% cap $5, cards 2.9%+$0.30. Re-check each on the vendor's own pricing page before quoting externally.</t>
  </si>
  <si>
    <t xml:space="preserve">ESTIMATES TO MEASURE IN A PILOT: voice minutes per booked load, tokens per booked load, calls/emails per booked load, leads per month, support hours. These drive the result far more than token prices. Voice minutes x per-minute rate is ~86% of AI cost in the Base case; LLM tokens are ~9%.</t>
  </si>
  <si>
    <t xml:space="preserve">INFRA/SUPPORT per-tenant allocations are placeholders (see Assumptions) - replace with real figures once multi-tenant infrastructure and support process exist.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</si>
</sst>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$#,##0.00"/>
    <numFmt numFmtId="167" formatCode="0.0%"/>
    <numFmt numFmtId="168" formatCode="0"/>
    <numFmt numFmtId="169" formatCode="#,##0"/>
    <numFmt numFmtId="170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5" min="2" style="0" width="11"/>
    <col collapsed="false" customWidth="true" hidden="false" outlineLevel="0" max="7" min="7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2</v>
      </c>
    </row>
    <row r="3" customFormat="false" ht="15" hidden="false" customHeight="false" outlineLevel="0" collapsed="false">
      <c r="A3" s="0" t="s">
        <v>2</v>
      </c>
      <c r="B3" s="0" t="str">
        <f aca="false">CHOOSE(B2,"Low","Base","High")</f>
        <v>Base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0" t="s">
        <v>10</v>
      </c>
      <c r="B6" s="2" t="n">
        <v>4</v>
      </c>
      <c r="C6" s="2" t="n">
        <v>4</v>
      </c>
      <c r="D6" s="2" t="n">
        <v>4</v>
      </c>
      <c r="E6" s="4" t="n">
        <f aca="false">CHOOSE($B$2,B6,C6,D6)</f>
        <v>4</v>
      </c>
      <c r="F6" s="5" t="s">
        <v>11</v>
      </c>
      <c r="G6" s="5" t="s">
        <v>12</v>
      </c>
    </row>
    <row r="7" customFormat="false" ht="15" hidden="false" customHeight="false" outlineLevel="0" collapsed="false">
      <c r="A7" s="0" t="s">
        <v>13</v>
      </c>
      <c r="B7" s="2" t="n">
        <v>4.33</v>
      </c>
      <c r="C7" s="2" t="n">
        <v>4.33</v>
      </c>
      <c r="D7" s="2" t="n">
        <v>4.33</v>
      </c>
      <c r="E7" s="4" t="n">
        <f aca="false">CHOOSE($B$2,B7,C7,D7)</f>
        <v>4.33</v>
      </c>
    </row>
    <row r="8" customFormat="false" ht="15" hidden="false" customHeight="false" outlineLevel="0" collapsed="false">
      <c r="A8" s="0" t="s">
        <v>14</v>
      </c>
      <c r="B8" s="2" t="n">
        <v>1</v>
      </c>
      <c r="C8" s="2" t="n">
        <v>1</v>
      </c>
      <c r="D8" s="2" t="n">
        <v>1</v>
      </c>
      <c r="E8" s="4" t="n">
        <f aca="false">CHOOSE($B$2,B8,C8,D8)</f>
        <v>1</v>
      </c>
      <c r="F8" s="5" t="s">
        <v>15</v>
      </c>
      <c r="G8" s="5" t="s">
        <v>16</v>
      </c>
    </row>
    <row r="9" customFormat="false" ht="15" hidden="false" customHeight="false" outlineLevel="0" collapsed="false">
      <c r="A9" s="0" t="s">
        <v>17</v>
      </c>
      <c r="B9" s="2" t="n">
        <v>5</v>
      </c>
      <c r="C9" s="2" t="n">
        <v>9</v>
      </c>
      <c r="D9" s="2" t="n">
        <v>18</v>
      </c>
      <c r="E9" s="4" t="n">
        <f aca="false">CHOOSE($B$2,B9,C9,D9)</f>
        <v>9</v>
      </c>
      <c r="F9" s="5" t="s">
        <v>18</v>
      </c>
      <c r="G9" s="5" t="s">
        <v>19</v>
      </c>
    </row>
    <row r="10" customFormat="false" ht="15" hidden="false" customHeight="false" outlineLevel="0" collapsed="false">
      <c r="A10" s="0" t="s">
        <v>20</v>
      </c>
      <c r="B10" s="2" t="n">
        <v>0.1</v>
      </c>
      <c r="C10" s="2" t="n">
        <v>0.16</v>
      </c>
      <c r="D10" s="2" t="n">
        <v>0.25</v>
      </c>
      <c r="E10" s="4" t="n">
        <f aca="false">CHOOSE($B$2,B10,C10,D10)</f>
        <v>0.16</v>
      </c>
      <c r="F10" s="5" t="s">
        <v>21</v>
      </c>
      <c r="G10" s="5" t="s">
        <v>22</v>
      </c>
    </row>
    <row r="11" customFormat="false" ht="15" hidden="false" customHeight="false" outlineLevel="0" collapsed="false">
      <c r="A11" s="0" t="s">
        <v>23</v>
      </c>
      <c r="B11" s="2" t="n">
        <v>60000</v>
      </c>
      <c r="C11" s="2" t="n">
        <v>120000</v>
      </c>
      <c r="D11" s="2" t="n">
        <v>250000</v>
      </c>
      <c r="E11" s="4" t="n">
        <f aca="false">CHOOSE($B$2,B11,C11,D11)</f>
        <v>120000</v>
      </c>
      <c r="F11" s="5" t="s">
        <v>24</v>
      </c>
      <c r="G11" s="5" t="s">
        <v>25</v>
      </c>
    </row>
    <row r="12" customFormat="false" ht="15" hidden="false" customHeight="false" outlineLevel="0" collapsed="false">
      <c r="A12" s="0" t="s">
        <v>26</v>
      </c>
      <c r="B12" s="2" t="n">
        <v>8000</v>
      </c>
      <c r="C12" s="2" t="n">
        <v>17000</v>
      </c>
      <c r="D12" s="2" t="n">
        <v>40000</v>
      </c>
      <c r="E12" s="4" t="n">
        <f aca="false">CHOOSE($B$2,B12,C12,D12)</f>
        <v>17000</v>
      </c>
      <c r="F12" s="5" t="s">
        <v>24</v>
      </c>
      <c r="G12" s="5" t="s">
        <v>25</v>
      </c>
    </row>
    <row r="13" customFormat="false" ht="15" hidden="false" customHeight="false" outlineLevel="0" collapsed="false">
      <c r="A13" s="0" t="s">
        <v>27</v>
      </c>
      <c r="B13" s="2" t="n">
        <v>0.1</v>
      </c>
      <c r="C13" s="2" t="n">
        <v>0.64</v>
      </c>
      <c r="D13" s="2" t="n">
        <v>2</v>
      </c>
      <c r="E13" s="4" t="n">
        <f aca="false">CHOOSE($B$2,B13,C13,D13)</f>
        <v>0.64</v>
      </c>
      <c r="F13" s="5" t="s">
        <v>28</v>
      </c>
      <c r="G13" s="5" t="s">
        <v>29</v>
      </c>
    </row>
    <row r="14" customFormat="false" ht="15" hidden="false" customHeight="false" outlineLevel="0" collapsed="false">
      <c r="A14" s="0" t="s">
        <v>30</v>
      </c>
      <c r="B14" s="2" t="n">
        <v>0.5</v>
      </c>
      <c r="C14" s="2" t="n">
        <v>4</v>
      </c>
      <c r="D14" s="2" t="n">
        <v>10</v>
      </c>
      <c r="E14" s="4" t="n">
        <f aca="false">CHOOSE($B$2,B14,C14,D14)</f>
        <v>4</v>
      </c>
      <c r="F14" s="5" t="s">
        <v>28</v>
      </c>
      <c r="G14" s="5" t="s">
        <v>31</v>
      </c>
    </row>
    <row r="15" customFormat="false" ht="15" hidden="false" customHeight="false" outlineLevel="0" collapsed="false">
      <c r="A15" s="0" t="s">
        <v>32</v>
      </c>
      <c r="B15" s="2" t="n">
        <v>3</v>
      </c>
      <c r="C15" s="2" t="n">
        <v>5</v>
      </c>
      <c r="D15" s="2" t="n">
        <v>10</v>
      </c>
      <c r="E15" s="4" t="n">
        <f aca="false">CHOOSE($B$2,B15,C15,D15)</f>
        <v>5</v>
      </c>
      <c r="F15" s="5" t="s">
        <v>33</v>
      </c>
    </row>
    <row r="16" customFormat="false" ht="15" hidden="false" customHeight="false" outlineLevel="0" collapsed="false">
      <c r="A16" s="0" t="s">
        <v>34</v>
      </c>
      <c r="B16" s="2" t="n">
        <v>0.0109</v>
      </c>
      <c r="C16" s="2" t="n">
        <v>0.0109</v>
      </c>
      <c r="D16" s="2" t="n">
        <v>0.0109</v>
      </c>
      <c r="E16" s="4" t="n">
        <f aca="false">CHOOSE($B$2,B16,C16,D16)</f>
        <v>0.0109</v>
      </c>
      <c r="F16" s="5" t="s">
        <v>35</v>
      </c>
      <c r="G16" s="5" t="s">
        <v>36</v>
      </c>
    </row>
    <row r="17" customFormat="false" ht="15" hidden="false" customHeight="false" outlineLevel="0" collapsed="false">
      <c r="A17" s="0" t="s">
        <v>37</v>
      </c>
      <c r="B17" s="2" t="n">
        <v>6</v>
      </c>
      <c r="C17" s="2" t="n">
        <v>10</v>
      </c>
      <c r="D17" s="2" t="n">
        <v>20</v>
      </c>
      <c r="E17" s="4" t="n">
        <f aca="false">CHOOSE($B$2,B17,C17,D17)</f>
        <v>10</v>
      </c>
      <c r="F17" s="5" t="s">
        <v>38</v>
      </c>
    </row>
    <row r="18" customFormat="false" ht="15" hidden="false" customHeight="false" outlineLevel="0" collapsed="false">
      <c r="A18" s="0" t="s">
        <v>39</v>
      </c>
      <c r="B18" s="2" t="n">
        <v>0.0009</v>
      </c>
      <c r="C18" s="2" t="n">
        <v>0.0009</v>
      </c>
      <c r="D18" s="2" t="n">
        <v>0.0009</v>
      </c>
      <c r="E18" s="4" t="n">
        <f aca="false">CHOOSE($B$2,B18,C18,D18)</f>
        <v>0.0009</v>
      </c>
      <c r="F18" s="5" t="s">
        <v>35</v>
      </c>
    </row>
    <row r="19" customFormat="false" ht="15" hidden="false" customHeight="false" outlineLevel="0" collapsed="false">
      <c r="A19" s="0" t="s">
        <v>40</v>
      </c>
      <c r="B19" s="2" t="n">
        <v>0.01</v>
      </c>
      <c r="C19" s="2" t="n">
        <v>0.03</v>
      </c>
      <c r="D19" s="2" t="n">
        <v>0.06</v>
      </c>
      <c r="E19" s="4" t="n">
        <f aca="false">CHOOSE($B$2,B19,C19,D19)</f>
        <v>0.03</v>
      </c>
      <c r="F19" s="5" t="s">
        <v>35</v>
      </c>
      <c r="G19" s="5" t="s">
        <v>41</v>
      </c>
    </row>
    <row r="20" customFormat="false" ht="15" hidden="false" customHeight="false" outlineLevel="0" collapsed="false">
      <c r="A20" s="0" t="s">
        <v>42</v>
      </c>
      <c r="B20" s="2" t="n">
        <v>0.2</v>
      </c>
      <c r="C20" s="2" t="n">
        <v>0.5</v>
      </c>
      <c r="D20" s="2" t="n">
        <v>1.5</v>
      </c>
      <c r="E20" s="4" t="n">
        <f aca="false">CHOOSE($B$2,B20,C20,D20)</f>
        <v>0.5</v>
      </c>
      <c r="F20" s="5" t="s">
        <v>35</v>
      </c>
      <c r="G20" s="5" t="s">
        <v>43</v>
      </c>
    </row>
    <row r="21" customFormat="false" ht="15" hidden="false" customHeight="false" outlineLevel="0" collapsed="false">
      <c r="A21" s="0" t="s">
        <v>44</v>
      </c>
      <c r="B21" s="2" t="n">
        <v>0.015</v>
      </c>
      <c r="C21" s="2" t="n">
        <v>0.025</v>
      </c>
      <c r="D21" s="2" t="n">
        <v>0.032</v>
      </c>
      <c r="E21" s="4" t="n">
        <f aca="false">CHOOSE($B$2,B21,C21,D21)</f>
        <v>0.025</v>
      </c>
      <c r="F21" s="5" t="s">
        <v>15</v>
      </c>
      <c r="G21" s="5" t="s">
        <v>45</v>
      </c>
    </row>
    <row r="22" customFormat="false" ht="15" hidden="false" customHeight="false" outlineLevel="0" collapsed="false">
      <c r="A22" s="0" t="s">
        <v>46</v>
      </c>
      <c r="B22" s="2" t="n">
        <v>0.3</v>
      </c>
      <c r="C22" s="2" t="n">
        <v>0.3</v>
      </c>
      <c r="D22" s="2" t="n">
        <v>0.3</v>
      </c>
      <c r="E22" s="4" t="n">
        <f aca="false">CHOOSE($B$2,B22,C22,D22)</f>
        <v>0.3</v>
      </c>
      <c r="F22" s="5" t="s">
        <v>35</v>
      </c>
    </row>
    <row r="23" customFormat="false" ht="15" hidden="false" customHeight="false" outlineLevel="0" collapsed="false">
      <c r="A23" s="0" t="s">
        <v>47</v>
      </c>
      <c r="B23" s="2" t="n">
        <v>0.6</v>
      </c>
      <c r="C23" s="2" t="n">
        <v>1.2</v>
      </c>
      <c r="D23" s="2" t="n">
        <v>3</v>
      </c>
      <c r="E23" s="4" t="n">
        <f aca="false">CHOOSE($B$2,B23,C23,D23)</f>
        <v>1.2</v>
      </c>
      <c r="F23" s="5" t="s">
        <v>35</v>
      </c>
      <c r="G23" s="5" t="s">
        <v>48</v>
      </c>
    </row>
    <row r="25" customFormat="false" ht="15" hidden="false" customHeight="false" outlineLevel="0" collapsed="false">
      <c r="A25" s="4" t="s">
        <v>49</v>
      </c>
    </row>
    <row r="26" customFormat="false" ht="15" hidden="false" customHeight="false" outlineLevel="0" collapsed="false">
      <c r="A26" s="3" t="s">
        <v>50</v>
      </c>
      <c r="B26" s="3" t="s">
        <v>4</v>
      </c>
      <c r="C26" s="3" t="s">
        <v>5</v>
      </c>
      <c r="D26" s="3" t="s">
        <v>6</v>
      </c>
      <c r="E26" s="3" t="s">
        <v>7</v>
      </c>
    </row>
    <row r="27" customFormat="false" ht="15" hidden="false" customHeight="false" outlineLevel="0" collapsed="false">
      <c r="A27" s="0" t="s">
        <v>51</v>
      </c>
      <c r="B27" s="2" t="n">
        <v>1</v>
      </c>
      <c r="C27" s="2" t="n">
        <v>3</v>
      </c>
      <c r="D27" s="2" t="n">
        <v>6</v>
      </c>
      <c r="E27" s="4" t="n">
        <f aca="false">CHOOSE($B$2,B27,C27,D27)</f>
        <v>3</v>
      </c>
    </row>
    <row r="28" customFormat="false" ht="15" hidden="false" customHeight="false" outlineLevel="0" collapsed="false">
      <c r="A28" s="0" t="s">
        <v>52</v>
      </c>
      <c r="B28" s="2" t="n">
        <v>3</v>
      </c>
      <c r="C28" s="2" t="n">
        <v>6</v>
      </c>
      <c r="D28" s="2" t="n">
        <v>12</v>
      </c>
      <c r="E28" s="4" t="n">
        <f aca="false">CHOOSE($B$2,B28,C28,D28)</f>
        <v>6</v>
      </c>
    </row>
    <row r="29" customFormat="false" ht="15" hidden="false" customHeight="false" outlineLevel="0" collapsed="false">
      <c r="A29" s="0" t="s">
        <v>53</v>
      </c>
      <c r="B29" s="2" t="n">
        <v>6</v>
      </c>
      <c r="C29" s="2" t="n">
        <v>12</v>
      </c>
      <c r="D29" s="2" t="n">
        <v>25</v>
      </c>
      <c r="E29" s="4" t="n">
        <f aca="false">CHOOSE($B$2,B29,C29,D29)</f>
        <v>12</v>
      </c>
    </row>
    <row r="30" customFormat="false" ht="15" hidden="false" customHeight="false" outlineLevel="0" collapsed="false">
      <c r="A30" s="0" t="s">
        <v>54</v>
      </c>
      <c r="B30" s="2" t="n">
        <v>20</v>
      </c>
      <c r="C30" s="2" t="n">
        <v>40</v>
      </c>
      <c r="D30" s="2" t="n">
        <v>90</v>
      </c>
      <c r="E30" s="4" t="n">
        <f aca="false">CHOOSE($B$2,B30,C30,D30)</f>
        <v>40</v>
      </c>
    </row>
    <row r="31" customFormat="false" ht="15" hidden="false" customHeight="false" outlineLevel="0" collapsed="false">
      <c r="A31" s="0" t="s">
        <v>55</v>
      </c>
      <c r="B31" s="2" t="n">
        <v>3</v>
      </c>
      <c r="C31" s="2" t="n">
        <v>8</v>
      </c>
      <c r="D31" s="2" t="n">
        <v>20</v>
      </c>
      <c r="E31" s="4" t="n">
        <f aca="false">CHOOSE($B$2,B31,C31,D31)</f>
        <v>8</v>
      </c>
    </row>
    <row r="32" customFormat="false" ht="15" hidden="false" customHeight="false" outlineLevel="0" collapsed="false">
      <c r="A32" s="0" t="s">
        <v>56</v>
      </c>
      <c r="B32" s="2" t="n">
        <v>15</v>
      </c>
      <c r="C32" s="2" t="n">
        <v>30</v>
      </c>
      <c r="D32" s="2" t="n">
        <v>70</v>
      </c>
      <c r="E32" s="4" t="n">
        <f aca="false">CHOOSE($B$2,B32,C32,D32)</f>
        <v>30</v>
      </c>
    </row>
    <row r="33" customFormat="false" ht="15" hidden="false" customHeight="false" outlineLevel="0" collapsed="false">
      <c r="A33" s="0" t="s">
        <v>57</v>
      </c>
      <c r="B33" s="2" t="n">
        <v>40</v>
      </c>
      <c r="C33" s="2" t="n">
        <v>80</v>
      </c>
      <c r="D33" s="2" t="n">
        <v>160</v>
      </c>
      <c r="E33" s="4" t="n">
        <f aca="false">CHOOSE($B$2,B33,C33,D33)</f>
        <v>80</v>
      </c>
    </row>
    <row r="34" customFormat="false" ht="15" hidden="false" customHeight="false" outlineLevel="0" collapsed="false">
      <c r="A34" s="0" t="s">
        <v>58</v>
      </c>
      <c r="B34" s="2" t="n">
        <v>200</v>
      </c>
      <c r="C34" s="2" t="n">
        <v>400</v>
      </c>
      <c r="D34" s="2" t="n">
        <v>800</v>
      </c>
      <c r="E34" s="4" t="n">
        <f aca="false">CHOOSE($B$2,B34,C34,D34)</f>
        <v>400</v>
      </c>
    </row>
    <row r="36" customFormat="false" ht="15" hidden="false" customHeight="false" outlineLevel="0" collapsed="false">
      <c r="A36" s="4" t="s">
        <v>59</v>
      </c>
    </row>
    <row r="37" customFormat="false" ht="15" hidden="false" customHeight="false" outlineLevel="0" collapsed="false">
      <c r="A37" s="0" t="s">
        <v>60</v>
      </c>
      <c r="E37" s="2" t="n">
        <v>10</v>
      </c>
    </row>
    <row r="38" customFormat="false" ht="15" hidden="false" customHeight="false" outlineLevel="0" collapsed="false">
      <c r="A38" s="0" t="s">
        <v>61</v>
      </c>
      <c r="E38" s="2" t="n">
        <v>40</v>
      </c>
    </row>
    <row r="39" customFormat="false" ht="15" hidden="false" customHeight="false" outlineLevel="0" collapsed="false">
      <c r="A39" s="0" t="s">
        <v>62</v>
      </c>
      <c r="E39" s="2" t="n">
        <v>100</v>
      </c>
    </row>
    <row r="40" customFormat="false" ht="15" hidden="false" customHeight="false" outlineLevel="0" collapsed="false">
      <c r="A40" s="0" t="s">
        <v>63</v>
      </c>
      <c r="E40" s="2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</row>
    <row r="4" customFormat="false" ht="15" hidden="false" customHeight="false" outlineLevel="0" collapsed="false">
      <c r="A4" s="0" t="s">
        <v>72</v>
      </c>
      <c r="B4" s="0" t="s">
        <v>73</v>
      </c>
      <c r="C4" s="0" t="s">
        <v>4</v>
      </c>
      <c r="D4" s="6" t="n">
        <v>0.5581</v>
      </c>
      <c r="E4" s="6" t="n">
        <v>0.5581</v>
      </c>
      <c r="F4" s="6" t="n">
        <v>0.5581</v>
      </c>
      <c r="G4" s="6" t="n">
        <v>0.5581</v>
      </c>
    </row>
    <row r="5" customFormat="false" ht="15" hidden="false" customHeight="false" outlineLevel="0" collapsed="false">
      <c r="A5" s="0" t="s">
        <v>72</v>
      </c>
      <c r="B5" s="0" t="s">
        <v>73</v>
      </c>
      <c r="C5" s="0" t="s">
        <v>5</v>
      </c>
      <c r="D5" s="6" t="n">
        <v>1.6783</v>
      </c>
      <c r="E5" s="6" t="n">
        <v>1.6783</v>
      </c>
      <c r="F5" s="6" t="n">
        <v>1.6783</v>
      </c>
      <c r="G5" s="6" t="n">
        <v>1.6783</v>
      </c>
    </row>
    <row r="6" customFormat="false" ht="15" hidden="false" customHeight="false" outlineLevel="0" collapsed="false">
      <c r="A6" s="0" t="s">
        <v>72</v>
      </c>
      <c r="B6" s="0" t="s">
        <v>73</v>
      </c>
      <c r="C6" s="0" t="s">
        <v>6</v>
      </c>
      <c r="D6" s="6" t="n">
        <v>5.587</v>
      </c>
      <c r="E6" s="6" t="n">
        <v>5.587</v>
      </c>
      <c r="F6" s="6" t="n">
        <v>5.587</v>
      </c>
      <c r="G6" s="6" t="n">
        <v>5.587</v>
      </c>
    </row>
    <row r="7" customFormat="false" ht="15" hidden="false" customHeight="false" outlineLevel="0" collapsed="false">
      <c r="A7" s="0" t="s">
        <v>74</v>
      </c>
      <c r="B7" s="0" t="s">
        <v>75</v>
      </c>
      <c r="C7" s="0" t="s">
        <v>4</v>
      </c>
      <c r="D7" s="7" t="n">
        <v>0.86448717948718</v>
      </c>
      <c r="E7" s="7" t="n">
        <v>0.848758389261745</v>
      </c>
      <c r="F7" s="7" t="n">
        <v>0.838428571428571</v>
      </c>
      <c r="G7" s="7" t="n">
        <v>0.8248</v>
      </c>
    </row>
    <row r="8" customFormat="false" ht="15" hidden="false" customHeight="false" outlineLevel="0" collapsed="false">
      <c r="A8" s="0" t="s">
        <v>74</v>
      </c>
      <c r="B8" s="0" t="s">
        <v>75</v>
      </c>
      <c r="C8" s="0" t="s">
        <v>5</v>
      </c>
      <c r="D8" s="7" t="n">
        <v>0.659615384615385</v>
      </c>
      <c r="E8" s="7" t="n">
        <v>0.697818791946309</v>
      </c>
      <c r="F8" s="7" t="n">
        <v>0.675571428571429</v>
      </c>
      <c r="G8" s="7" t="n">
        <v>0.648133333333333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s">
        <v>6</v>
      </c>
      <c r="D9" s="7" t="n">
        <v>0.216717948717949</v>
      </c>
      <c r="E9" s="7" t="n">
        <v>0.314979865771812</v>
      </c>
      <c r="F9" s="7" t="n">
        <v>0.331428571428571</v>
      </c>
      <c r="G9" s="7" t="n">
        <v>0.274466666666667</v>
      </c>
    </row>
    <row r="10" customFormat="false" ht="15" hidden="false" customHeight="false" outlineLevel="0" collapsed="false">
      <c r="A10" s="0" t="s">
        <v>76</v>
      </c>
      <c r="B10" s="0" t="s">
        <v>75</v>
      </c>
      <c r="C10" s="0" t="s">
        <v>4</v>
      </c>
      <c r="D10" s="7" t="n">
        <v>0.781334033898305</v>
      </c>
      <c r="E10" s="7" t="n">
        <v>0.472004736842105</v>
      </c>
      <c r="F10" s="7" t="n">
        <v>0.423994063577174</v>
      </c>
      <c r="G10" s="7" t="n">
        <v>0.434343370745506</v>
      </c>
    </row>
    <row r="11" customFormat="false" ht="15" hidden="false" customHeight="false" outlineLevel="0" collapsed="false">
      <c r="A11" s="0" t="s">
        <v>76</v>
      </c>
      <c r="B11" s="0" t="s">
        <v>75</v>
      </c>
      <c r="C11" s="0" t="s">
        <v>5</v>
      </c>
      <c r="D11" s="7" t="n">
        <v>0.378082101694915</v>
      </c>
      <c r="E11" s="7" t="n">
        <v>-0.481059473684211</v>
      </c>
      <c r="F11" s="7" t="n">
        <v>-0.61730926847951</v>
      </c>
      <c r="G11" s="7" t="n">
        <v>-0.574920430696231</v>
      </c>
    </row>
    <row r="12" customFormat="false" ht="15" hidden="false" customHeight="false" outlineLevel="0" collapsed="false">
      <c r="A12" s="0" t="s">
        <v>76</v>
      </c>
      <c r="B12" s="0" t="s">
        <v>75</v>
      </c>
      <c r="C12" s="0" t="s">
        <v>6</v>
      </c>
      <c r="D12" s="7" t="n">
        <v>-0.920421016949152</v>
      </c>
      <c r="E12" s="7" t="n">
        <v>-3.70291403508772</v>
      </c>
      <c r="F12" s="7" t="n">
        <v>-4.09130869398698</v>
      </c>
      <c r="G12" s="7" t="n">
        <v>-3.92158116616479</v>
      </c>
    </row>
    <row r="13" customFormat="false" ht="15" hidden="false" customHeight="false" outlineLevel="0" collapsed="false">
      <c r="A13" s="0" t="s">
        <v>77</v>
      </c>
      <c r="B13" s="0" t="s">
        <v>75</v>
      </c>
      <c r="C13" s="0" t="s">
        <v>4</v>
      </c>
      <c r="D13" s="7" t="n">
        <v>0.846600995391705</v>
      </c>
      <c r="E13" s="7" t="n">
        <v>0.553920733944954</v>
      </c>
      <c r="F13" s="7" t="n">
        <v>0.416813747585319</v>
      </c>
      <c r="G13" s="7" t="n">
        <v>0.366469704906583</v>
      </c>
    </row>
    <row r="14" customFormat="false" ht="15" hidden="false" customHeight="false" outlineLevel="0" collapsed="false">
      <c r="A14" s="0" t="s">
        <v>77</v>
      </c>
      <c r="B14" s="0" t="s">
        <v>75</v>
      </c>
      <c r="C14" s="0" t="s">
        <v>5</v>
      </c>
      <c r="D14" s="7" t="n">
        <v>0.595109161290323</v>
      </c>
      <c r="E14" s="7" t="n">
        <v>-0.187023119266055</v>
      </c>
      <c r="F14" s="7" t="n">
        <v>-0.556719092079845</v>
      </c>
      <c r="G14" s="7" t="n">
        <v>-0.691280600663524</v>
      </c>
    </row>
    <row r="15" customFormat="false" ht="15" hidden="false" customHeight="false" outlineLevel="0" collapsed="false">
      <c r="A15" s="0" t="s">
        <v>77</v>
      </c>
      <c r="B15" s="0" t="s">
        <v>75</v>
      </c>
      <c r="C15" s="0" t="s">
        <v>6</v>
      </c>
      <c r="D15" s="7" t="n">
        <v>-0.197132165898617</v>
      </c>
      <c r="E15" s="7" t="n">
        <v>-2.65575657492355</v>
      </c>
      <c r="F15" s="7" t="n">
        <v>-3.76794816484224</v>
      </c>
      <c r="G15" s="7" t="n">
        <v>-4.1686265060241</v>
      </c>
    </row>
    <row r="16" customFormat="false" ht="15" hidden="false" customHeight="false" outlineLevel="0" collapsed="false">
      <c r="A16" s="0" t="s">
        <v>74</v>
      </c>
      <c r="B16" s="0" t="s">
        <v>78</v>
      </c>
      <c r="C16" s="0" t="s">
        <v>4</v>
      </c>
      <c r="D16" s="7" t="n">
        <v>0.925506329113924</v>
      </c>
      <c r="E16" s="7" t="n">
        <v>0.882989949748744</v>
      </c>
      <c r="F16" s="7" t="n">
        <v>0.877</v>
      </c>
      <c r="G16" s="7" t="n">
        <v>0.8248</v>
      </c>
    </row>
    <row r="17" customFormat="false" ht="15" hidden="false" customHeight="false" outlineLevel="0" collapsed="false">
      <c r="A17" s="0" t="s">
        <v>74</v>
      </c>
      <c r="B17" s="0" t="s">
        <v>78</v>
      </c>
      <c r="C17" s="0" t="s">
        <v>5</v>
      </c>
      <c r="D17" s="7" t="n">
        <v>0.819303797468354</v>
      </c>
      <c r="E17" s="7" t="n">
        <v>0.767462311557789</v>
      </c>
      <c r="F17" s="7" t="n">
        <v>0.754368421052632</v>
      </c>
      <c r="G17" s="7" t="n">
        <v>0.648133333333333</v>
      </c>
    </row>
    <row r="18" customFormat="false" ht="15" hidden="false" customHeight="false" outlineLevel="0" collapsed="false">
      <c r="A18" s="0" t="s">
        <v>74</v>
      </c>
      <c r="B18" s="0" t="s">
        <v>78</v>
      </c>
      <c r="C18" s="0" t="s">
        <v>6</v>
      </c>
      <c r="D18" s="7" t="n">
        <v>0.597113924050633</v>
      </c>
      <c r="E18" s="7" t="n">
        <v>0.47905527638191</v>
      </c>
      <c r="F18" s="7" t="n">
        <v>0.498947368421053</v>
      </c>
      <c r="G18" s="7" t="n">
        <v>0.274466666666667</v>
      </c>
    </row>
    <row r="19" customFormat="false" ht="15" hidden="false" customHeight="false" outlineLevel="0" collapsed="false">
      <c r="A19" s="0" t="s">
        <v>76</v>
      </c>
      <c r="B19" s="0" t="s">
        <v>78</v>
      </c>
      <c r="C19" s="0" t="s">
        <v>4</v>
      </c>
      <c r="D19" s="7" t="n">
        <v>0.9134403763697</v>
      </c>
      <c r="E19" s="7" t="n">
        <v>0.894133840894966</v>
      </c>
      <c r="F19" s="7" t="n">
        <v>0.879334607754734</v>
      </c>
      <c r="G19" s="7" t="n">
        <v>0.849557378520929</v>
      </c>
    </row>
    <row r="20" customFormat="false" ht="15" hidden="false" customHeight="false" outlineLevel="0" collapsed="false">
      <c r="A20" s="0" t="s">
        <v>76</v>
      </c>
      <c r="B20" s="0" t="s">
        <v>78</v>
      </c>
      <c r="C20" s="0" t="s">
        <v>5</v>
      </c>
      <c r="D20" s="7" t="n">
        <v>0.765268246784183</v>
      </c>
      <c r="E20" s="7" t="n">
        <v>0.71709014916097</v>
      </c>
      <c r="F20" s="7" t="n">
        <v>0.67508876465284</v>
      </c>
      <c r="G20" s="7" t="n">
        <v>0.593772797665806</v>
      </c>
    </row>
    <row r="21" customFormat="false" ht="15" hidden="false" customHeight="false" outlineLevel="0" collapsed="false">
      <c r="A21" s="0" t="s">
        <v>76</v>
      </c>
      <c r="B21" s="0" t="s">
        <v>78</v>
      </c>
      <c r="C21" s="0" t="s">
        <v>6</v>
      </c>
      <c r="D21" s="7" t="n">
        <v>0.304488565983802</v>
      </c>
      <c r="E21" s="7" t="n">
        <v>0.140647296457427</v>
      </c>
      <c r="F21" s="7" t="n">
        <v>0.0150798917944094</v>
      </c>
      <c r="G21" s="7" t="n">
        <v>-0.23466906071148</v>
      </c>
    </row>
    <row r="22" customFormat="false" ht="15" hidden="false" customHeight="false" outlineLevel="0" collapsed="false">
      <c r="A22" s="0" t="s">
        <v>77</v>
      </c>
      <c r="B22" s="0" t="s">
        <v>78</v>
      </c>
      <c r="C22" s="0" t="s">
        <v>4</v>
      </c>
      <c r="D22" s="7" t="n">
        <v>0.926094100109838</v>
      </c>
      <c r="E22" s="7" t="n">
        <v>0.893239213644057</v>
      </c>
      <c r="F22" s="7" t="n">
        <v>0.873709664196752</v>
      </c>
      <c r="G22" s="7" t="n">
        <v>0.842380050327126</v>
      </c>
    </row>
    <row r="23" customFormat="false" ht="15" hidden="false" customHeight="false" outlineLevel="0" collapsed="false">
      <c r="A23" s="0" t="s">
        <v>77</v>
      </c>
      <c r="B23" s="0" t="s">
        <v>78</v>
      </c>
      <c r="C23" s="0" t="s">
        <v>5</v>
      </c>
      <c r="D23" s="7" t="n">
        <v>0.813309446100738</v>
      </c>
      <c r="E23" s="7" t="n">
        <v>0.727648379117302</v>
      </c>
      <c r="F23" s="7" t="n">
        <v>0.674983004887277</v>
      </c>
      <c r="G23" s="7" t="n">
        <v>0.590791082033216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0" t="s">
        <v>6</v>
      </c>
      <c r="D24" s="7" t="n">
        <v>0.472092107327789</v>
      </c>
      <c r="E24" s="7" t="n">
        <v>0.196636635854706</v>
      </c>
      <c r="F24" s="7" t="n">
        <v>0.040372379000473</v>
      </c>
      <c r="G24" s="7" t="n">
        <v>-0.216396980372421</v>
      </c>
    </row>
    <row r="25" customFormat="false" ht="15" hidden="false" customHeight="false" outlineLevel="0" collapsed="false">
      <c r="A25" s="0" t="s">
        <v>79</v>
      </c>
      <c r="B25" s="0" t="s">
        <v>78</v>
      </c>
      <c r="C25" s="0" t="s">
        <v>4</v>
      </c>
      <c r="D25" s="6" t="n">
        <v>306.769816</v>
      </c>
      <c r="E25" s="6" t="n">
        <v>1150.92908</v>
      </c>
      <c r="F25" s="6" t="n">
        <v>2437.9552</v>
      </c>
      <c r="G25" s="6" t="n">
        <v>7570.4058</v>
      </c>
    </row>
    <row r="26" customFormat="false" ht="15" hidden="false" customHeight="false" outlineLevel="0" collapsed="false">
      <c r="A26" s="0" t="s">
        <v>79</v>
      </c>
      <c r="B26" s="0" t="s">
        <v>78</v>
      </c>
      <c r="C26" s="0" t="s">
        <v>5</v>
      </c>
      <c r="D26" s="6" t="n">
        <v>257.007688</v>
      </c>
      <c r="E26" s="6" t="n">
        <v>923.03844</v>
      </c>
      <c r="F26" s="6" t="n">
        <v>1871.6836</v>
      </c>
      <c r="G26" s="6" t="n">
        <v>5291.1094</v>
      </c>
    </row>
    <row r="27" customFormat="false" ht="15" hidden="false" customHeight="false" outlineLevel="0" collapsed="false">
      <c r="A27" s="0" t="s">
        <v>79</v>
      </c>
      <c r="B27" s="0" t="s">
        <v>78</v>
      </c>
      <c r="C27" s="0" t="s">
        <v>6</v>
      </c>
      <c r="D27" s="6" t="n">
        <v>102.25944</v>
      </c>
      <c r="E27" s="6" t="n">
        <v>181.0412</v>
      </c>
      <c r="F27" s="6" t="n">
        <v>41.8090000000002</v>
      </c>
      <c r="G27" s="6" t="n">
        <v>-2091.136</v>
      </c>
    </row>
    <row r="28" customFormat="false" ht="15" hidden="false" customHeight="false" outlineLevel="0" collapsed="false">
      <c r="A28" s="0" t="s">
        <v>80</v>
      </c>
      <c r="B28" s="0" t="s">
        <v>78</v>
      </c>
      <c r="C28" s="0" t="s">
        <v>4</v>
      </c>
      <c r="D28" s="6" t="n">
        <v>472.159816</v>
      </c>
      <c r="E28" s="6" t="n">
        <v>1372.19408</v>
      </c>
      <c r="F28" s="6" t="n">
        <v>2770.9702</v>
      </c>
      <c r="G28" s="6" t="n">
        <v>8369.0458</v>
      </c>
    </row>
    <row r="29" customFormat="false" ht="15" hidden="false" customHeight="false" outlineLevel="0" collapsed="false">
      <c r="A29" s="0" t="s">
        <v>80</v>
      </c>
      <c r="B29" s="0" t="s">
        <v>78</v>
      </c>
      <c r="C29" s="0" t="s">
        <v>5</v>
      </c>
      <c r="D29" s="6" t="n">
        <v>414.657688</v>
      </c>
      <c r="E29" s="6" t="n">
        <v>1117.81344</v>
      </c>
      <c r="F29" s="6" t="n">
        <v>2140.7086</v>
      </c>
      <c r="G29" s="6" t="n">
        <v>5869.5094</v>
      </c>
    </row>
    <row r="30" customFormat="false" ht="15" hidden="false" customHeight="false" outlineLevel="0" collapsed="false">
      <c r="A30" s="0" t="s">
        <v>80</v>
      </c>
      <c r="B30" s="0" t="s">
        <v>78</v>
      </c>
      <c r="C30" s="0" t="s">
        <v>6</v>
      </c>
      <c r="D30" s="6" t="n">
        <v>240.69144</v>
      </c>
      <c r="E30" s="6" t="n">
        <v>302.0732</v>
      </c>
      <c r="F30" s="6" t="n">
        <v>128.041</v>
      </c>
      <c r="G30" s="6" t="n">
        <v>-2149.904</v>
      </c>
    </row>
    <row r="31" customFormat="false" ht="15" hidden="false" customHeight="false" outlineLevel="0" collapsed="false">
      <c r="A31" s="0" t="s">
        <v>79</v>
      </c>
      <c r="B31" s="0" t="s">
        <v>75</v>
      </c>
      <c r="C31" s="0" t="s">
        <v>4</v>
      </c>
      <c r="D31" s="6" t="n">
        <v>92.197416</v>
      </c>
      <c r="E31" s="6" t="n">
        <v>107.61708</v>
      </c>
      <c r="F31" s="6" t="n">
        <v>221.4097</v>
      </c>
      <c r="G31" s="6" t="n">
        <v>951.9938</v>
      </c>
    </row>
    <row r="32" customFormat="false" ht="15" hidden="false" customHeight="false" outlineLevel="0" collapsed="false">
      <c r="A32" s="0" t="s">
        <v>79</v>
      </c>
      <c r="B32" s="0" t="s">
        <v>75</v>
      </c>
      <c r="C32" s="0" t="s">
        <v>5</v>
      </c>
      <c r="D32" s="6" t="n">
        <v>44.613688</v>
      </c>
      <c r="E32" s="6" t="n">
        <v>-109.68156</v>
      </c>
      <c r="F32" s="6" t="n">
        <v>-322.3589</v>
      </c>
      <c r="G32" s="6" t="n">
        <v>-1260.1106</v>
      </c>
    </row>
    <row r="33" customFormat="false" ht="15" hidden="false" customHeight="false" outlineLevel="0" collapsed="false">
      <c r="A33" s="0" t="s">
        <v>79</v>
      </c>
      <c r="B33" s="0" t="s">
        <v>75</v>
      </c>
      <c r="C33" s="0" t="s">
        <v>6</v>
      </c>
      <c r="D33" s="6" t="n">
        <v>-108.60968</v>
      </c>
      <c r="E33" s="6" t="n">
        <v>-844.2644</v>
      </c>
      <c r="F33" s="6" t="n">
        <v>-2136.4814</v>
      </c>
      <c r="G33" s="6" t="n">
        <v>-8595.3216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81</v>
      </c>
    </row>
    <row r="3" customFormat="false" ht="15" hidden="false" customHeight="false" outlineLevel="0" collapsed="false">
      <c r="A3" s="3" t="s">
        <v>50</v>
      </c>
      <c r="B3" s="3" t="s">
        <v>82</v>
      </c>
      <c r="C3" s="3" t="s">
        <v>83</v>
      </c>
      <c r="D3" s="3" t="s">
        <v>9</v>
      </c>
    </row>
    <row r="4" customFormat="false" ht="15" hidden="false" customHeight="false" outlineLevel="0" collapsed="false">
      <c r="A4" s="0" t="s">
        <v>84</v>
      </c>
      <c r="B4" s="2" t="n">
        <v>39</v>
      </c>
      <c r="C4" s="2" t="n">
        <v>79</v>
      </c>
      <c r="D4" s="5" t="s">
        <v>85</v>
      </c>
    </row>
    <row r="5" customFormat="false" ht="15" hidden="false" customHeight="false" outlineLevel="0" collapsed="false">
      <c r="A5" s="0" t="s">
        <v>86</v>
      </c>
      <c r="B5" s="2" t="n">
        <v>3</v>
      </c>
      <c r="C5" s="2" t="n">
        <v>5</v>
      </c>
    </row>
    <row r="6" customFormat="false" ht="15" hidden="false" customHeight="false" outlineLevel="0" collapsed="false">
      <c r="A6" s="0" t="s">
        <v>87</v>
      </c>
      <c r="B6" s="2" t="n">
        <v>9</v>
      </c>
      <c r="C6" s="2" t="n">
        <v>12</v>
      </c>
    </row>
    <row r="7" customFormat="false" ht="15" hidden="false" customHeight="false" outlineLevel="0" collapsed="false">
      <c r="A7" s="0" t="s">
        <v>88</v>
      </c>
      <c r="B7" s="2" t="n">
        <v>14</v>
      </c>
      <c r="C7" s="2" t="n">
        <v>19</v>
      </c>
      <c r="D7" s="5" t="s">
        <v>89</v>
      </c>
    </row>
    <row r="8" customFormat="false" ht="15" hidden="false" customHeight="false" outlineLevel="0" collapsed="false">
      <c r="A8" s="0" t="s">
        <v>90</v>
      </c>
      <c r="B8" s="2" t="n">
        <v>149</v>
      </c>
      <c r="C8" s="2" t="n">
        <v>199</v>
      </c>
    </row>
    <row r="9" customFormat="false" ht="15" hidden="false" customHeight="false" outlineLevel="0" collapsed="false">
      <c r="A9" s="0" t="s">
        <v>91</v>
      </c>
      <c r="B9" s="2" t="n">
        <v>10.5</v>
      </c>
      <c r="C9" s="2" t="n">
        <v>14</v>
      </c>
      <c r="D9" s="5" t="s">
        <v>92</v>
      </c>
    </row>
    <row r="10" customFormat="false" ht="15" hidden="false" customHeight="false" outlineLevel="0" collapsed="false">
      <c r="A10" s="0" t="s">
        <v>93</v>
      </c>
      <c r="B10" s="2" t="n">
        <v>1500</v>
      </c>
      <c r="C10" s="2" t="n">
        <v>1500</v>
      </c>
      <c r="D10" s="5" t="s">
        <v>94</v>
      </c>
    </row>
    <row r="11" customFormat="false" ht="15" hidden="false" customHeight="false" outlineLevel="0" collapsed="false">
      <c r="A11" s="0" t="s">
        <v>95</v>
      </c>
      <c r="B11" s="2" t="n">
        <v>79</v>
      </c>
      <c r="C11" s="2" t="n">
        <v>49</v>
      </c>
      <c r="D11" s="5" t="s">
        <v>96</v>
      </c>
    </row>
    <row r="12" customFormat="false" ht="15" hidden="false" customHeight="false" outlineLevel="0" collapsed="false">
      <c r="A12" s="0" t="s">
        <v>97</v>
      </c>
      <c r="B12" s="2" t="n">
        <v>200</v>
      </c>
      <c r="C12" s="2" t="n">
        <v>0</v>
      </c>
      <c r="D12" s="5" t="s">
        <v>98</v>
      </c>
    </row>
    <row r="13" customFormat="false" ht="15" hidden="false" customHeight="false" outlineLevel="0" collapsed="false">
      <c r="A13" s="0" t="s">
        <v>99</v>
      </c>
      <c r="B13" s="2" t="n">
        <v>0.4</v>
      </c>
      <c r="C13" s="2" t="n">
        <v>0</v>
      </c>
      <c r="D13" s="5" t="s">
        <v>98</v>
      </c>
    </row>
    <row r="14" customFormat="false" ht="15" hidden="false" customHeight="false" outlineLevel="0" collapsed="false">
      <c r="A14" s="0" t="s">
        <v>100</v>
      </c>
      <c r="B14" s="2" t="n">
        <v>0</v>
      </c>
      <c r="C14" s="2" t="n">
        <v>6</v>
      </c>
      <c r="D14" s="5" t="s">
        <v>101</v>
      </c>
    </row>
    <row r="15" customFormat="false" ht="15" hidden="false" customHeight="false" outlineLevel="0" collapsed="false">
      <c r="A15" s="0" t="s">
        <v>102</v>
      </c>
      <c r="B15" s="2" t="n">
        <v>0</v>
      </c>
      <c r="C15" s="2" t="n">
        <v>4.5</v>
      </c>
      <c r="D15" s="5" t="s">
        <v>101</v>
      </c>
    </row>
    <row r="16" customFormat="false" ht="15" hidden="false" customHeight="false" outlineLevel="0" collapsed="false">
      <c r="A16" s="0" t="s">
        <v>103</v>
      </c>
      <c r="B16" s="2" t="n">
        <v>0</v>
      </c>
      <c r="C16" s="2" t="n">
        <v>3.5</v>
      </c>
      <c r="D16" s="5" t="s">
        <v>101</v>
      </c>
    </row>
    <row r="17" customFormat="false" ht="15" hidden="false" customHeight="false" outlineLevel="0" collapsed="false">
      <c r="A17" s="0" t="s">
        <v>104</v>
      </c>
      <c r="B17" s="2" t="n">
        <v>99</v>
      </c>
      <c r="C17" s="2" t="n">
        <v>149</v>
      </c>
    </row>
    <row r="18" customFormat="false" ht="15" hidden="false" customHeight="false" outlineLevel="0" collapsed="false">
      <c r="A18" s="0" t="s">
        <v>105</v>
      </c>
      <c r="B18" s="2" t="n">
        <v>0</v>
      </c>
      <c r="C18" s="2" t="n">
        <v>2.5</v>
      </c>
      <c r="D18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8"/>
    <col collapsed="false" customWidth="true" hidden="false" outlineLevel="0" max="6" min="3" style="0" width="14"/>
  </cols>
  <sheetData>
    <row r="1" customFormat="false" ht="16.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0" t="str">
        <f aca="false">"Cost case: "&amp;Assumptions!B3</f>
        <v>Cost case: Base</v>
      </c>
    </row>
    <row r="4" customFormat="false" ht="15" hidden="false" customHeight="false" outlineLevel="0" collapsed="false">
      <c r="A4" s="3" t="s">
        <v>108</v>
      </c>
      <c r="B4" s="3" t="s">
        <v>8</v>
      </c>
      <c r="C4" s="3" t="s">
        <v>68</v>
      </c>
      <c r="D4" s="3" t="s">
        <v>69</v>
      </c>
      <c r="E4" s="3" t="s">
        <v>70</v>
      </c>
      <c r="F4" s="3" t="s">
        <v>71</v>
      </c>
    </row>
    <row r="5" customFormat="false" ht="15" hidden="false" customHeight="false" outlineLevel="0" collapsed="false">
      <c r="A5" s="0" t="s">
        <v>109</v>
      </c>
      <c r="B5" s="0" t="s">
        <v>110</v>
      </c>
      <c r="C5" s="8" t="n">
        <v>2</v>
      </c>
      <c r="D5" s="8" t="n">
        <v>10</v>
      </c>
      <c r="E5" s="8" t="n">
        <v>25</v>
      </c>
      <c r="F5" s="8" t="n">
        <v>100</v>
      </c>
    </row>
    <row r="6" customFormat="false" ht="15" hidden="false" customHeight="false" outlineLevel="0" collapsed="false">
      <c r="A6" s="0" t="s">
        <v>111</v>
      </c>
      <c r="B6" s="0" t="s">
        <v>11</v>
      </c>
      <c r="C6" s="9" t="n">
        <f aca="false">C5*Assumptions!$E$6*Assumptions!$E$7</f>
        <v>34.64</v>
      </c>
      <c r="D6" s="9" t="n">
        <f aca="false">D5*Assumptions!$E$6*Assumptions!$E$7</f>
        <v>173.2</v>
      </c>
      <c r="E6" s="9" t="n">
        <f aca="false">E5*Assumptions!$E$6*Assumptions!$E$7</f>
        <v>433</v>
      </c>
      <c r="F6" s="9" t="n">
        <f aca="false">F5*Assumptions!$E$6*Assumptions!$E$7</f>
        <v>1732</v>
      </c>
    </row>
    <row r="7" customFormat="false" ht="15" hidden="false" customHeight="false" outlineLevel="0" collapsed="false">
      <c r="A7" s="0" t="s">
        <v>112</v>
      </c>
      <c r="B7" s="0" t="s">
        <v>11</v>
      </c>
      <c r="C7" s="9" t="n">
        <f aca="false">C6*Assumptions!$E$8</f>
        <v>34.64</v>
      </c>
      <c r="D7" s="9" t="n">
        <f aca="false">D6*Assumptions!$E$8</f>
        <v>173.2</v>
      </c>
      <c r="E7" s="9" t="n">
        <f aca="false">E6*Assumptions!$E$8</f>
        <v>433</v>
      </c>
      <c r="F7" s="9" t="n">
        <f aca="false">F6*Assumptions!$E$8</f>
        <v>1732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10" t="n">
        <f aca="false">C7*Assumptions!$E$9*Assumptions!$E$10</f>
        <v>49.8816</v>
      </c>
      <c r="D9" s="10" t="n">
        <f aca="false">D7*Assumptions!$E$9*Assumptions!$E$10</f>
        <v>249.408</v>
      </c>
      <c r="E9" s="10" t="n">
        <f aca="false">E7*Assumptions!$E$9*Assumptions!$E$10</f>
        <v>623.52</v>
      </c>
      <c r="F9" s="10" t="n">
        <f aca="false">F7*Assumptions!$E$9*Assumptions!$E$10</f>
        <v>2494.08</v>
      </c>
    </row>
    <row r="10" customFormat="false" ht="15" hidden="false" customHeight="false" outlineLevel="0" collapsed="false">
      <c r="A10" s="0" t="s">
        <v>115</v>
      </c>
      <c r="B10" s="0" t="s">
        <v>114</v>
      </c>
      <c r="C10" s="10" t="n">
        <f aca="false">C7*(Assumptions!$E$11*Assumptions!$E$13+Assumptions!$E$12*Assumptions!$E$14)/1000000</f>
        <v>5.015872</v>
      </c>
      <c r="D10" s="10" t="n">
        <f aca="false">D7*(Assumptions!$E$11*Assumptions!$E$13+Assumptions!$E$12*Assumptions!$E$14)/1000000</f>
        <v>25.07936</v>
      </c>
      <c r="E10" s="10" t="n">
        <f aca="false">E7*(Assumptions!$E$11*Assumptions!$E$13+Assumptions!$E$12*Assumptions!$E$14)/1000000</f>
        <v>62.6984</v>
      </c>
      <c r="F10" s="10" t="n">
        <f aca="false">F7*(Assumptions!$E$11*Assumptions!$E$13+Assumptions!$E$12*Assumptions!$E$14)/1000000</f>
        <v>250.7936</v>
      </c>
    </row>
    <row r="11" customFormat="false" ht="15" hidden="false" customHeight="false" outlineLevel="0" collapsed="false">
      <c r="A11" s="0" t="s">
        <v>116</v>
      </c>
      <c r="B11" s="0" t="s">
        <v>114</v>
      </c>
      <c r="C11" s="10" t="n">
        <f aca="false">C7*Assumptions!$E$15*Assumptions!$E$16</f>
        <v>1.88788</v>
      </c>
      <c r="D11" s="10" t="n">
        <f aca="false">D7*Assumptions!$E$15*Assumptions!$E$16</f>
        <v>9.4394</v>
      </c>
      <c r="E11" s="10" t="n">
        <f aca="false">E7*Assumptions!$E$15*Assumptions!$E$16</f>
        <v>23.5985</v>
      </c>
      <c r="F11" s="10" t="n">
        <f aca="false">F7*Assumptions!$E$15*Assumptions!$E$16</f>
        <v>94.394</v>
      </c>
    </row>
    <row r="12" customFormat="false" ht="15" hidden="false" customHeight="false" outlineLevel="0" collapsed="false">
      <c r="A12" s="0" t="s">
        <v>117</v>
      </c>
      <c r="B12" s="0" t="s">
        <v>114</v>
      </c>
      <c r="C12" s="10" t="n">
        <f aca="false">C7*Assumptions!$E$17*Assumptions!$E$18</f>
        <v>0.31176</v>
      </c>
      <c r="D12" s="10" t="n">
        <f aca="false">D7*Assumptions!$E$17*Assumptions!$E$18</f>
        <v>1.5588</v>
      </c>
      <c r="E12" s="10" t="n">
        <f aca="false">E7*Assumptions!$E$17*Assumptions!$E$18</f>
        <v>3.897</v>
      </c>
      <c r="F12" s="10" t="n">
        <f aca="false">F7*Assumptions!$E$17*Assumptions!$E$18</f>
        <v>15.588</v>
      </c>
    </row>
    <row r="13" customFormat="false" ht="15" hidden="false" customHeight="false" outlineLevel="0" collapsed="false">
      <c r="A13" s="0" t="s">
        <v>118</v>
      </c>
      <c r="B13" s="0" t="s">
        <v>114</v>
      </c>
      <c r="C13" s="10" t="n">
        <f aca="false">C7*Assumptions!$E$19</f>
        <v>1.0392</v>
      </c>
      <c r="D13" s="10" t="n">
        <f aca="false">D7*Assumptions!$E$19</f>
        <v>5.196</v>
      </c>
      <c r="E13" s="10" t="n">
        <f aca="false">E7*Assumptions!$E$19</f>
        <v>12.99</v>
      </c>
      <c r="F13" s="10" t="n">
        <f aca="false">F7*Assumptions!$E$19</f>
        <v>51.96</v>
      </c>
    </row>
    <row r="14" customFormat="false" ht="15" hidden="false" customHeight="false" outlineLevel="0" collapsed="false">
      <c r="A14" s="4" t="s">
        <v>119</v>
      </c>
      <c r="B14" s="5" t="s">
        <v>114</v>
      </c>
      <c r="C14" s="10" t="n">
        <f aca="false">SUM(C9:C13)</f>
        <v>58.136312</v>
      </c>
      <c r="D14" s="10" t="n">
        <f aca="false">SUM(D9:D13)</f>
        <v>290.68156</v>
      </c>
      <c r="E14" s="10" t="n">
        <f aca="false">SUM(E9:E13)</f>
        <v>726.7039</v>
      </c>
      <c r="F14" s="10" t="n">
        <f aca="false">SUM(F9:F13)</f>
        <v>2906.8156</v>
      </c>
    </row>
    <row r="15" customFormat="false" ht="15" hidden="false" customHeight="false" outlineLevel="0" collapsed="false">
      <c r="A15" s="4" t="s">
        <v>72</v>
      </c>
      <c r="B15" s="5" t="s">
        <v>120</v>
      </c>
      <c r="C15" s="6" t="n">
        <f aca="false">IF(C7=0,0,C14/C7)</f>
        <v>1.6783</v>
      </c>
      <c r="D15" s="6" t="n">
        <f aca="false">IF(D7=0,0,D14/D7)</f>
        <v>1.6783</v>
      </c>
      <c r="E15" s="6" t="n">
        <f aca="false">IF(E7=0,0,E14/E7)</f>
        <v>1.6783</v>
      </c>
      <c r="F15" s="6" t="n">
        <f aca="false">IF(F7=0,0,F14/F7)</f>
        <v>1.6783</v>
      </c>
    </row>
    <row r="17" customFormat="false" ht="15" hidden="false" customHeight="false" outlineLevel="0" collapsed="false">
      <c r="A17" s="0" t="s">
        <v>121</v>
      </c>
      <c r="B17" s="0" t="s">
        <v>114</v>
      </c>
      <c r="C17" s="10" t="n">
        <f aca="false">C5*Assumptions!$E$20</f>
        <v>1</v>
      </c>
      <c r="D17" s="10" t="n">
        <f aca="false">D5*Assumptions!$E$20</f>
        <v>5</v>
      </c>
      <c r="E17" s="10" t="n">
        <f aca="false">E5*Assumptions!$E$20</f>
        <v>12.5</v>
      </c>
      <c r="F17" s="10" t="n">
        <f aca="false">F5*Assumptions!$E$20</f>
        <v>50</v>
      </c>
    </row>
    <row r="18" customFormat="false" ht="15" hidden="false" customHeight="false" outlineLevel="0" collapsed="false">
      <c r="A18" s="0" t="s">
        <v>122</v>
      </c>
      <c r="B18" s="0" t="s">
        <v>114</v>
      </c>
      <c r="C18" s="10" t="n">
        <f aca="false">Assumptions!$E$27</f>
        <v>3</v>
      </c>
      <c r="D18" s="10" t="n">
        <f aca="false">Assumptions!$E$28</f>
        <v>6</v>
      </c>
      <c r="E18" s="10" t="n">
        <f aca="false">Assumptions!$E$29</f>
        <v>12</v>
      </c>
      <c r="F18" s="10" t="n">
        <f aca="false">Assumptions!$E$30</f>
        <v>40</v>
      </c>
    </row>
    <row r="19" customFormat="false" ht="15" hidden="false" customHeight="false" outlineLevel="0" collapsed="false">
      <c r="A19" s="0" t="s">
        <v>123</v>
      </c>
      <c r="B19" s="0" t="s">
        <v>114</v>
      </c>
      <c r="C19" s="10" t="n">
        <f aca="false">Assumptions!$E$31</f>
        <v>8</v>
      </c>
      <c r="D19" s="10" t="n">
        <f aca="false">Assumptions!$E$32</f>
        <v>30</v>
      </c>
      <c r="E19" s="10" t="n">
        <f aca="false">Assumptions!$E$33</f>
        <v>80</v>
      </c>
      <c r="F19" s="10" t="n">
        <f aca="false">Assumptions!$E$34</f>
        <v>400</v>
      </c>
    </row>
    <row r="21" customFormat="false" ht="15" hidden="false" customHeight="false" outlineLevel="0" collapsed="false">
      <c r="A21" s="0" t="s">
        <v>124</v>
      </c>
      <c r="B21" s="0" t="s">
        <v>114</v>
      </c>
      <c r="C21" s="10" t="n">
        <f aca="false">PriceBook!$B$4+PriceBook!$B$6*MAX(0,C5-PriceBook!$B$5)</f>
        <v>39</v>
      </c>
      <c r="D21" s="10" t="n">
        <f aca="false">MAX(PriceBook!$B$8,PriceBook!$B$7*D5)</f>
        <v>149</v>
      </c>
      <c r="E21" s="10" t="n">
        <f aca="false">MAX(PriceBook!$B$8,PriceBook!$B$7*E5)</f>
        <v>350</v>
      </c>
      <c r="F21" s="10" t="n">
        <f aca="false">MAX(PriceBook!$B$10,PriceBook!$B$9*F5)</f>
        <v>1500</v>
      </c>
    </row>
    <row r="22" customFormat="false" ht="15" hidden="false" customHeight="false" outlineLevel="0" collapsed="false">
      <c r="A22" s="0" t="s">
        <v>125</v>
      </c>
      <c r="B22" s="0" t="s">
        <v>114</v>
      </c>
      <c r="C22" s="10" t="n">
        <f aca="false">PriceBook!$B$11+PriceBook!$B$13*MAX(0,C7-PriceBook!$B$12)</f>
        <v>79</v>
      </c>
      <c r="D22" s="10" t="n">
        <f aca="false">PriceBook!$B$11+PriceBook!$B$13*MAX(0,D7-PriceBook!$B$12)</f>
        <v>79</v>
      </c>
      <c r="E22" s="10" t="n">
        <f aca="false">PriceBook!$B$11+PriceBook!$B$13*MAX(0,E7-PriceBook!$B$12)</f>
        <v>172.2</v>
      </c>
      <c r="F22" s="10" t="n">
        <f aca="false">PriceBook!$B$11+PriceBook!$B$13*MAX(0,F7-PriceBook!$B$12)</f>
        <v>691.8</v>
      </c>
    </row>
    <row r="23" customFormat="false" ht="15" hidden="false" customHeight="false" outlineLevel="0" collapsed="false">
      <c r="A23" s="0" t="s">
        <v>126</v>
      </c>
      <c r="B23" s="0" t="s">
        <v>114</v>
      </c>
      <c r="C23" s="10" t="n">
        <f aca="false">PriceBook!$B$17+PriceBook!$B$18*Assumptions!$E$37</f>
        <v>99</v>
      </c>
      <c r="D23" s="10" t="n">
        <f aca="false">PriceBook!$B$17+PriceBook!$B$18*Assumptions!$E$38</f>
        <v>99</v>
      </c>
      <c r="E23" s="10" t="n">
        <f aca="false">PriceBook!$B$17+PriceBook!$B$18*Assumptions!$E$39</f>
        <v>99</v>
      </c>
      <c r="F23" s="10" t="n">
        <f aca="false">PriceBook!$B$17+PriceBook!$B$18*Assumptions!$E$40</f>
        <v>99</v>
      </c>
    </row>
    <row r="24" customFormat="false" ht="15" hidden="false" customHeight="false" outlineLevel="0" collapsed="false">
      <c r="A24" s="0" t="s">
        <v>127</v>
      </c>
      <c r="B24" s="0" t="s">
        <v>114</v>
      </c>
      <c r="C24" s="10" t="n">
        <f aca="false">Assumptions!$E$21*C21+Assumptions!$E$22</f>
        <v>1.275</v>
      </c>
      <c r="D24" s="10" t="n">
        <f aca="false">Assumptions!$E$21*D21+Assumptions!$E$22</f>
        <v>4.025</v>
      </c>
      <c r="E24" s="10" t="n">
        <f aca="false">Assumptions!$E$21*E21+Assumptions!$E$22</f>
        <v>9.05</v>
      </c>
      <c r="F24" s="10" t="n">
        <f aca="false">Assumptions!$E$21*F21+Assumptions!$E$22</f>
        <v>37.8</v>
      </c>
    </row>
    <row r="25" customFormat="false" ht="15" hidden="false" customHeight="false" outlineLevel="0" collapsed="false">
      <c r="A25" s="0" t="s">
        <v>128</v>
      </c>
      <c r="B25" s="0" t="s">
        <v>114</v>
      </c>
      <c r="C25" s="10" t="n">
        <f aca="false">Assumptions!$E$21*(C21+C22)+Assumptions!$E$22</f>
        <v>3.25</v>
      </c>
      <c r="D25" s="10" t="n">
        <f aca="false">Assumptions!$E$21*(D21+D22)+Assumptions!$E$22</f>
        <v>6</v>
      </c>
      <c r="E25" s="10" t="n">
        <f aca="false">Assumptions!$E$21*(E21+E22)+Assumptions!$E$22</f>
        <v>13.355</v>
      </c>
      <c r="F25" s="10" t="n">
        <f aca="false">Assumptions!$E$21*(F21+F22)+Assumptions!$E$22</f>
        <v>55.095</v>
      </c>
    </row>
    <row r="26" customFormat="false" ht="15" hidden="false" customHeight="false" outlineLevel="0" collapsed="false">
      <c r="A26" s="0" t="s">
        <v>129</v>
      </c>
      <c r="B26" s="0" t="s">
        <v>114</v>
      </c>
      <c r="C26" s="10" t="n">
        <f aca="false">Assumptions!$E$21*(C21+C22+C23)+Assumptions!$E$22</f>
        <v>5.725</v>
      </c>
      <c r="D26" s="10" t="n">
        <f aca="false">Assumptions!$E$21*(D21+D22+D23)+Assumptions!$E$22</f>
        <v>8.475</v>
      </c>
      <c r="E26" s="10" t="n">
        <f aca="false">Assumptions!$E$21*(E21+E22+E23)+Assumptions!$E$22</f>
        <v>15.83</v>
      </c>
      <c r="F26" s="10" t="n">
        <f aca="false">Assumptions!$E$21*(F21+F22+F23)+Assumptions!$E$22</f>
        <v>57.57</v>
      </c>
    </row>
    <row r="27" customFormat="false" ht="15" hidden="false" customHeight="false" outlineLevel="0" collapsed="false">
      <c r="A27" s="4" t="s">
        <v>130</v>
      </c>
      <c r="B27" s="5" t="s">
        <v>114</v>
      </c>
      <c r="C27" s="11" t="n">
        <f aca="false">C21-(C17+C18+C19)-C24</f>
        <v>25.725</v>
      </c>
      <c r="D27" s="11" t="n">
        <f aca="false">D21-(D17+D18+D19)-D24</f>
        <v>103.975</v>
      </c>
      <c r="E27" s="11" t="n">
        <f aca="false">E21-(E17+E18+E19)-E24</f>
        <v>236.45</v>
      </c>
      <c r="F27" s="11" t="n">
        <f aca="false">F21-(F17+F18+F19)-F24</f>
        <v>972.2</v>
      </c>
    </row>
    <row r="28" customFormat="false" ht="15" hidden="false" customHeight="false" outlineLevel="0" collapsed="false">
      <c r="A28" s="4" t="s">
        <v>131</v>
      </c>
      <c r="B28" s="5" t="s">
        <v>15</v>
      </c>
      <c r="C28" s="12" t="n">
        <f aca="false">C27/C21</f>
        <v>0.659615384615385</v>
      </c>
      <c r="D28" s="12" t="n">
        <f aca="false">D27/D21</f>
        <v>0.697818791946309</v>
      </c>
      <c r="E28" s="12" t="n">
        <f aca="false">E27/E21</f>
        <v>0.675571428571429</v>
      </c>
      <c r="F28" s="12" t="n">
        <f aca="false">F27/F21</f>
        <v>0.648133333333333</v>
      </c>
    </row>
    <row r="29" customFormat="false" ht="15" hidden="false" customHeight="false" outlineLevel="0" collapsed="false">
      <c r="A29" s="4" t="s">
        <v>132</v>
      </c>
      <c r="B29" s="5" t="s">
        <v>114</v>
      </c>
      <c r="C29" s="11" t="n">
        <f aca="false">C21+C22-(C17+C18+C19)-C14-C25</f>
        <v>44.613688</v>
      </c>
      <c r="D29" s="11" t="n">
        <f aca="false">D21+D22-(D17+D18+D19)-D14-D25</f>
        <v>-109.68156</v>
      </c>
      <c r="E29" s="11" t="n">
        <f aca="false">E21+E22-(E17+E18+E19)-E14-E25</f>
        <v>-322.3589</v>
      </c>
      <c r="F29" s="11" t="n">
        <f aca="false">F21+F22-(F17+F18+F19)-F14-F25</f>
        <v>-1260.1106</v>
      </c>
    </row>
    <row r="30" customFormat="false" ht="15" hidden="false" customHeight="false" outlineLevel="0" collapsed="false">
      <c r="A30" s="4" t="s">
        <v>133</v>
      </c>
      <c r="B30" s="5" t="s">
        <v>15</v>
      </c>
      <c r="C30" s="12" t="n">
        <f aca="false">C29/(C21+C22)</f>
        <v>0.378082101694915</v>
      </c>
      <c r="D30" s="12" t="n">
        <f aca="false">D29/(D21+D22)</f>
        <v>-0.481059473684211</v>
      </c>
      <c r="E30" s="12" t="n">
        <f aca="false">E29/(E21+E22)</f>
        <v>-0.61730926847951</v>
      </c>
      <c r="F30" s="12" t="n">
        <f aca="false">F29/(F21+F22)</f>
        <v>-0.574920430696231</v>
      </c>
    </row>
    <row r="31" customFormat="false" ht="15" hidden="false" customHeight="false" outlineLevel="0" collapsed="false">
      <c r="A31" s="4" t="s">
        <v>134</v>
      </c>
      <c r="B31" s="5" t="s">
        <v>114</v>
      </c>
      <c r="C31" s="11" t="n">
        <f aca="false">C21+C22+C23-(C17+C18+C19)-C14-C51-C26</f>
        <v>129.138688</v>
      </c>
      <c r="D31" s="11" t="n">
        <f aca="false">D21+D22+D23-(D17+D18+D19)-D14-D51-D26</f>
        <v>-61.15656</v>
      </c>
      <c r="E31" s="11" t="n">
        <f aca="false">E21+E22+E23-(E17+E18+E19)-E14-E51-E26</f>
        <v>-345.8339</v>
      </c>
      <c r="F31" s="11" t="n">
        <f aca="false">F21+F22+F23-(F17+F18+F19)-F14-F51-F26</f>
        <v>-1583.5856</v>
      </c>
    </row>
    <row r="32" customFormat="false" ht="15" hidden="false" customHeight="false" outlineLevel="0" collapsed="false">
      <c r="A32" s="4" t="s">
        <v>135</v>
      </c>
      <c r="B32" s="5" t="s">
        <v>15</v>
      </c>
      <c r="C32" s="12" t="n">
        <f aca="false">C31/C33</f>
        <v>0.595109161290323</v>
      </c>
      <c r="D32" s="12" t="n">
        <f aca="false">D31/D33</f>
        <v>-0.187023119266055</v>
      </c>
      <c r="E32" s="12" t="n">
        <f aca="false">E31/E33</f>
        <v>-0.556719092079845</v>
      </c>
      <c r="F32" s="12" t="n">
        <f aca="false">F31/F33</f>
        <v>-0.691280600663524</v>
      </c>
    </row>
    <row r="33" customFormat="false" ht="15" hidden="false" customHeight="false" outlineLevel="0" collapsed="false">
      <c r="A33" s="0" t="s">
        <v>136</v>
      </c>
      <c r="B33" s="0" t="s">
        <v>114</v>
      </c>
      <c r="C33" s="10" t="n">
        <f aca="false">C21+C22+C23</f>
        <v>217</v>
      </c>
      <c r="D33" s="10" t="n">
        <f aca="false">D21+D22+D23</f>
        <v>327</v>
      </c>
      <c r="E33" s="10" t="n">
        <f aca="false">E21+E22+E23</f>
        <v>621.2</v>
      </c>
      <c r="F33" s="10" t="n">
        <f aca="false">F21+F22+F23</f>
        <v>2290.8</v>
      </c>
    </row>
    <row r="34" customFormat="false" ht="15" hidden="false" customHeight="false" outlineLevel="0" collapsed="false">
      <c r="A34" s="0" t="s">
        <v>137</v>
      </c>
      <c r="B34" s="0" t="s">
        <v>114</v>
      </c>
      <c r="C34" s="10" t="n">
        <f aca="false">(C17+C18+C19)+C14+C51+C26</f>
        <v>87.861312</v>
      </c>
      <c r="D34" s="10" t="n">
        <f aca="false">(D17+D18+D19)+D14+D51+D26</f>
        <v>388.15656</v>
      </c>
      <c r="E34" s="10" t="n">
        <f aca="false">(E17+E18+E19)+E14+E51+E26</f>
        <v>967.0339</v>
      </c>
      <c r="F34" s="10" t="n">
        <f aca="false">(F17+F18+F19)+F14+F51+F26</f>
        <v>3874.3856</v>
      </c>
    </row>
    <row r="36" customFormat="false" ht="15" hidden="false" customHeight="false" outlineLevel="0" collapsed="false">
      <c r="A36" s="0" t="s">
        <v>138</v>
      </c>
      <c r="B36" s="0" t="s">
        <v>114</v>
      </c>
      <c r="C36" s="10" t="n">
        <f aca="false">PriceBook!$C$4+PriceBook!$C$6*MAX(0,C5-PriceBook!$C$5)</f>
        <v>79</v>
      </c>
      <c r="D36" s="10" t="n">
        <f aca="false">MAX(PriceBook!$C$8,PriceBook!$C$7*D5)</f>
        <v>199</v>
      </c>
      <c r="E36" s="10" t="n">
        <f aca="false">MAX(PriceBook!$C$8,PriceBook!$C$7*E5)</f>
        <v>475</v>
      </c>
      <c r="F36" s="10" t="n">
        <f aca="false">MAX(PriceBook!$C$10,PriceBook!$C$9*F5)</f>
        <v>1500</v>
      </c>
    </row>
    <row r="37" customFormat="false" ht="15" hidden="false" customHeight="false" outlineLevel="0" collapsed="false">
      <c r="A37" s="0" t="s">
        <v>139</v>
      </c>
      <c r="B37" s="0" t="s">
        <v>114</v>
      </c>
      <c r="C37" s="10" t="n">
        <f aca="false">PriceBook!$C$11+PriceBook!$C$14*MIN(C7,200)+PriceBook!$C$15*MAX(0,MIN(C7,1000)-200)+PriceBook!$C$16*MAX(0,C7-1000)</f>
        <v>256.84</v>
      </c>
      <c r="D37" s="10" t="n">
        <f aca="false">PriceBook!$C$11+PriceBook!$C$14*MIN(D7,200)+PriceBook!$C$15*MAX(0,MIN(D7,1000)-200)+PriceBook!$C$16*MAX(0,D7-1000)</f>
        <v>1088.2</v>
      </c>
      <c r="E37" s="10" t="n">
        <f aca="false">PriceBook!$C$11+PriceBook!$C$14*MIN(E7,200)+PriceBook!$C$15*MAX(0,MIN(E7,1000)-200)+PriceBook!$C$16*MAX(0,E7-1000)</f>
        <v>2297.5</v>
      </c>
      <c r="F37" s="10" t="n">
        <f aca="false">PriceBook!$C$11+PriceBook!$C$14*MIN(F7,200)+PriceBook!$C$15*MAX(0,MIN(F7,1000)-200)+PriceBook!$C$16*MAX(0,F7-1000)</f>
        <v>7411</v>
      </c>
    </row>
    <row r="38" customFormat="false" ht="15" hidden="false" customHeight="false" outlineLevel="0" collapsed="false">
      <c r="A38" s="0" t="s">
        <v>140</v>
      </c>
      <c r="B38" s="0" t="s">
        <v>114</v>
      </c>
      <c r="C38" s="10" t="n">
        <f aca="false">PriceBook!$C$17+PriceBook!$C$18*Assumptions!$E$37</f>
        <v>174</v>
      </c>
      <c r="D38" s="10" t="n">
        <f aca="false">PriceBook!$C$17+PriceBook!$C$18*Assumptions!$E$38</f>
        <v>249</v>
      </c>
      <c r="E38" s="10" t="n">
        <f aca="false">PriceBook!$C$17+PriceBook!$C$18*Assumptions!$E$39</f>
        <v>399</v>
      </c>
      <c r="F38" s="10" t="n">
        <f aca="false">PriceBook!$C$17+PriceBook!$C$18*Assumptions!$E$40</f>
        <v>1024</v>
      </c>
    </row>
    <row r="39" customFormat="false" ht="15" hidden="false" customHeight="false" outlineLevel="0" collapsed="false">
      <c r="A39" s="0" t="s">
        <v>127</v>
      </c>
      <c r="B39" s="0" t="s">
        <v>114</v>
      </c>
      <c r="C39" s="10" t="n">
        <f aca="false">Assumptions!$E$21*C36+Assumptions!$E$22</f>
        <v>2.275</v>
      </c>
      <c r="D39" s="10" t="n">
        <f aca="false">Assumptions!$E$21*D36+Assumptions!$E$22</f>
        <v>5.275</v>
      </c>
      <c r="E39" s="10" t="n">
        <f aca="false">Assumptions!$E$21*E36+Assumptions!$E$22</f>
        <v>12.175</v>
      </c>
      <c r="F39" s="10" t="n">
        <f aca="false">Assumptions!$E$21*F36+Assumptions!$E$22</f>
        <v>37.8</v>
      </c>
    </row>
    <row r="40" customFormat="false" ht="15" hidden="false" customHeight="false" outlineLevel="0" collapsed="false">
      <c r="A40" s="0" t="s">
        <v>128</v>
      </c>
      <c r="B40" s="0" t="s">
        <v>114</v>
      </c>
      <c r="C40" s="10" t="n">
        <f aca="false">Assumptions!$E$21*(C36+C37)+Assumptions!$E$22</f>
        <v>8.696</v>
      </c>
      <c r="D40" s="10" t="n">
        <f aca="false">Assumptions!$E$21*(D36+D37)+Assumptions!$E$22</f>
        <v>32.48</v>
      </c>
      <c r="E40" s="10" t="n">
        <f aca="false">Assumptions!$E$21*(E36+E37)+Assumptions!$E$22</f>
        <v>69.6125</v>
      </c>
      <c r="F40" s="10" t="n">
        <f aca="false">Assumptions!$E$21*(F36+F37)+Assumptions!$E$22</f>
        <v>223.075</v>
      </c>
    </row>
    <row r="41" customFormat="false" ht="15" hidden="false" customHeight="false" outlineLevel="0" collapsed="false">
      <c r="A41" s="0" t="s">
        <v>129</v>
      </c>
      <c r="B41" s="0" t="s">
        <v>114</v>
      </c>
      <c r="C41" s="10" t="n">
        <f aca="false">Assumptions!$E$21*(C36+C37+C38)+Assumptions!$E$22</f>
        <v>13.046</v>
      </c>
      <c r="D41" s="10" t="n">
        <f aca="false">Assumptions!$E$21*(D36+D37+D38)+Assumptions!$E$22</f>
        <v>38.705</v>
      </c>
      <c r="E41" s="10" t="n">
        <f aca="false">Assumptions!$E$21*(E36+E37+E38)+Assumptions!$E$22</f>
        <v>79.5875</v>
      </c>
      <c r="F41" s="10" t="n">
        <f aca="false">Assumptions!$E$21*(F36+F37+F38)+Assumptions!$E$22</f>
        <v>248.675</v>
      </c>
    </row>
    <row r="42" customFormat="false" ht="15" hidden="false" customHeight="false" outlineLevel="0" collapsed="false">
      <c r="A42" s="4" t="s">
        <v>130</v>
      </c>
      <c r="B42" s="5" t="s">
        <v>114</v>
      </c>
      <c r="C42" s="11" t="n">
        <f aca="false">C36-(C17+C18+C19)-C39</f>
        <v>64.725</v>
      </c>
      <c r="D42" s="11" t="n">
        <f aca="false">D36-(D17+D18+D19)-D39</f>
        <v>152.725</v>
      </c>
      <c r="E42" s="11" t="n">
        <f aca="false">E36-(E17+E18+E19)-E39</f>
        <v>358.325</v>
      </c>
      <c r="F42" s="11" t="n">
        <f aca="false">F36-(F17+F18+F19)-F39</f>
        <v>972.2</v>
      </c>
    </row>
    <row r="43" customFormat="false" ht="15" hidden="false" customHeight="false" outlineLevel="0" collapsed="false">
      <c r="A43" s="4" t="s">
        <v>131</v>
      </c>
      <c r="B43" s="5" t="s">
        <v>15</v>
      </c>
      <c r="C43" s="12" t="n">
        <f aca="false">C42/C36</f>
        <v>0.819303797468354</v>
      </c>
      <c r="D43" s="12" t="n">
        <f aca="false">D42/D36</f>
        <v>0.767462311557789</v>
      </c>
      <c r="E43" s="12" t="n">
        <f aca="false">E42/E36</f>
        <v>0.754368421052632</v>
      </c>
      <c r="F43" s="12" t="n">
        <f aca="false">F42/F36</f>
        <v>0.648133333333333</v>
      </c>
    </row>
    <row r="44" customFormat="false" ht="15" hidden="false" customHeight="false" outlineLevel="0" collapsed="false">
      <c r="A44" s="4" t="s">
        <v>132</v>
      </c>
      <c r="B44" s="5" t="s">
        <v>114</v>
      </c>
      <c r="C44" s="11" t="n">
        <f aca="false">C36+C37-(C17+C18+C19)-C14-C40</f>
        <v>257.007688</v>
      </c>
      <c r="D44" s="11" t="n">
        <f aca="false">D36+D37-(D17+D18+D19)-D14-D40</f>
        <v>923.03844</v>
      </c>
      <c r="E44" s="11" t="n">
        <f aca="false">E36+E37-(E17+E18+E19)-E14-E40</f>
        <v>1871.6836</v>
      </c>
      <c r="F44" s="11" t="n">
        <f aca="false">F36+F37-(F17+F18+F19)-F14-F40</f>
        <v>5291.1094</v>
      </c>
    </row>
    <row r="45" customFormat="false" ht="15" hidden="false" customHeight="false" outlineLevel="0" collapsed="false">
      <c r="A45" s="4" t="s">
        <v>133</v>
      </c>
      <c r="B45" s="5" t="s">
        <v>15</v>
      </c>
      <c r="C45" s="12" t="n">
        <f aca="false">C44/(C36+C37)</f>
        <v>0.765268246784183</v>
      </c>
      <c r="D45" s="12" t="n">
        <f aca="false">D44/(D36+D37)</f>
        <v>0.71709014916097</v>
      </c>
      <c r="E45" s="12" t="n">
        <f aca="false">E44/(E36+E37)</f>
        <v>0.67508876465284</v>
      </c>
      <c r="F45" s="12" t="n">
        <f aca="false">F44/(F36+F37)</f>
        <v>0.593772797665806</v>
      </c>
    </row>
    <row r="46" customFormat="false" ht="15" hidden="false" customHeight="false" outlineLevel="0" collapsed="false">
      <c r="A46" s="4" t="s">
        <v>134</v>
      </c>
      <c r="B46" s="5" t="s">
        <v>114</v>
      </c>
      <c r="C46" s="11" t="n">
        <f aca="false">C36+C37+C38-(C17+C18+C19)-C14-C51-C41</f>
        <v>414.657688</v>
      </c>
      <c r="D46" s="11" t="n">
        <f aca="false">D36+D37+D38-(D17+D18+D19)-D14-D51-D41</f>
        <v>1117.81344</v>
      </c>
      <c r="E46" s="11" t="n">
        <f aca="false">E36+E37+E38-(E17+E18+E19)-E14-E51-E41</f>
        <v>2140.7086</v>
      </c>
      <c r="F46" s="11" t="n">
        <f aca="false">F36+F37+F38-(F17+F18+F19)-F14-F51-F41</f>
        <v>5869.5094</v>
      </c>
    </row>
    <row r="47" customFormat="false" ht="15" hidden="false" customHeight="false" outlineLevel="0" collapsed="false">
      <c r="A47" s="4" t="s">
        <v>135</v>
      </c>
      <c r="B47" s="5" t="s">
        <v>15</v>
      </c>
      <c r="C47" s="12" t="n">
        <f aca="false">C46/C48</f>
        <v>0.813309446100738</v>
      </c>
      <c r="D47" s="12" t="n">
        <f aca="false">D46/D48</f>
        <v>0.727648379117302</v>
      </c>
      <c r="E47" s="12" t="n">
        <f aca="false">E46/E48</f>
        <v>0.674983004887277</v>
      </c>
      <c r="F47" s="12" t="n">
        <f aca="false">F46/F48</f>
        <v>0.590791082033216</v>
      </c>
    </row>
    <row r="48" customFormat="false" ht="15" hidden="false" customHeight="false" outlineLevel="0" collapsed="false">
      <c r="A48" s="0" t="s">
        <v>136</v>
      </c>
      <c r="B48" s="0" t="s">
        <v>114</v>
      </c>
      <c r="C48" s="10" t="n">
        <f aca="false">C36+C37+C38</f>
        <v>509.84</v>
      </c>
      <c r="D48" s="10" t="n">
        <f aca="false">D36+D37+D38</f>
        <v>1536.2</v>
      </c>
      <c r="E48" s="10" t="n">
        <f aca="false">E36+E37+E38</f>
        <v>3171.5</v>
      </c>
      <c r="F48" s="10" t="n">
        <f aca="false">F36+F37+F38</f>
        <v>9935</v>
      </c>
    </row>
    <row r="49" customFormat="false" ht="15" hidden="false" customHeight="false" outlineLevel="0" collapsed="false">
      <c r="A49" s="0" t="s">
        <v>137</v>
      </c>
      <c r="B49" s="0" t="s">
        <v>114</v>
      </c>
      <c r="C49" s="10" t="n">
        <f aca="false">(C17+C18+C19)+C14+C51+C41</f>
        <v>95.182312</v>
      </c>
      <c r="D49" s="10" t="n">
        <f aca="false">(D17+D18+D19)+D14+D51+D41</f>
        <v>418.38656</v>
      </c>
      <c r="E49" s="10" t="n">
        <f aca="false">(E17+E18+E19)+E14+E51+E41</f>
        <v>1030.7914</v>
      </c>
      <c r="F49" s="10" t="n">
        <f aca="false">(F17+F18+F19)+F14+F51+F41</f>
        <v>4065.4906</v>
      </c>
    </row>
    <row r="51" customFormat="false" ht="15" hidden="false" customHeight="false" outlineLevel="0" collapsed="false">
      <c r="A51" s="0" t="s">
        <v>141</v>
      </c>
      <c r="B51" s="0" t="s">
        <v>114</v>
      </c>
      <c r="C51" s="10" t="n">
        <f aca="false">Assumptions!$E$37*Assumptions!$E$23</f>
        <v>12</v>
      </c>
      <c r="D51" s="10" t="n">
        <f aca="false">Assumptions!$E$38*Assumptions!$E$23</f>
        <v>48</v>
      </c>
      <c r="E51" s="10" t="n">
        <f aca="false">Assumptions!$E$39*Assumptions!$E$23</f>
        <v>120</v>
      </c>
      <c r="F51" s="10" t="n">
        <f aca="false">Assumptions!$E$40*Assumptions!$E$23</f>
        <v>420</v>
      </c>
    </row>
    <row r="52" customFormat="false" ht="15" hidden="false" customHeight="false" outlineLevel="0" collapsed="false">
      <c r="A52" s="0" t="s">
        <v>142</v>
      </c>
      <c r="B52" s="0" t="s">
        <v>120</v>
      </c>
      <c r="C52" s="6" t="n">
        <f aca="false">C15/(1-0.6)</f>
        <v>4.19575</v>
      </c>
      <c r="D52" s="6" t="n">
        <f aca="false">D15/(1-0.6)</f>
        <v>4.19575</v>
      </c>
      <c r="E52" s="6" t="n">
        <f aca="false">E15/(1-0.6)</f>
        <v>4.19575</v>
      </c>
      <c r="F52" s="6" t="n">
        <f aca="false">F15/(1-0.6)</f>
        <v>4.19575</v>
      </c>
    </row>
    <row r="53" customFormat="false" ht="15" hidden="false" customHeight="false" outlineLevel="0" collapsed="false">
      <c r="A53" s="0" t="s">
        <v>143</v>
      </c>
      <c r="B53" s="0" t="s">
        <v>120</v>
      </c>
      <c r="C53" s="6" t="n">
        <f aca="false">C15/(1-0.5)</f>
        <v>3.3566</v>
      </c>
      <c r="D53" s="6" t="n">
        <f aca="false">D15/(1-0.5)</f>
        <v>3.3566</v>
      </c>
      <c r="E53" s="6" t="n">
        <f aca="false">E15/(1-0.5)</f>
        <v>3.3566</v>
      </c>
      <c r="F53" s="6" t="n">
        <f aca="false">F15/(1-0.5)</f>
        <v>3.3566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144</v>
      </c>
    </row>
    <row r="2" customFormat="false" ht="15" hidden="false" customHeight="false" outlineLevel="0" collapsed="false">
      <c r="A2" s="0" t="s">
        <v>145</v>
      </c>
    </row>
    <row r="3" customFormat="false" ht="15" hidden="false" customHeight="false" outlineLevel="0" collapsed="false">
      <c r="A3" s="0" t="s">
        <v>146</v>
      </c>
    </row>
    <row r="4" customFormat="false" ht="15" hidden="false" customHeight="false" outlineLevel="0" collapsed="false">
      <c r="A4" s="0" t="s">
        <v>147</v>
      </c>
    </row>
    <row r="5" customFormat="false" ht="15" hidden="false" customHeight="false" outlineLevel="0" collapsed="false">
      <c r="A5" s="0" t="s">
        <v>148</v>
      </c>
    </row>
    <row r="6" customFormat="false" ht="15" hidden="false" customHeight="false" outlineLevel="0" collapsed="false">
      <c r="A6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2026-10-10T01:53:34Z</dcterms:created>
  <dc:creator>openpyxl</dc:creator>
  <dc:description/>
  <dc:language>en-US</dc:language>
  <cp:lastModifiedBy/>
  <dcterms:modified xsi:type="dcterms:W3CDTF">2026-10-10T01:54:13Z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