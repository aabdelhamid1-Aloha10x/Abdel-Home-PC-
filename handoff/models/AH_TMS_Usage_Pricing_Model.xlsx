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Inputs" sheetId="1" state="visible" r:id="rId3"/>
    <sheet name="Pricing_Comparison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<sst xmlns="http://schemas.openxmlformats.org/spreadsheetml/2006/main" count="45" uniqueCount="45">
  <si>
    <t xml:space="preserve">Usage-based pricing - TMS only (AI Dispatcher parked). Yellow = editable.</t>
  </si>
  <si>
    <t xml:space="preserve">Pricing model 1: graduated price per DELIVERED load</t>
  </si>
  <si>
    <t xml:space="preserve">Band 1 size (loads)</t>
  </si>
  <si>
    <t xml:space="preserve">Band 1 price per load</t>
  </si>
  <si>
    <t xml:space="preserve">Band 2 size (loads)</t>
  </si>
  <si>
    <t xml:space="preserve">Band 2 price per load</t>
  </si>
  <si>
    <t xml:space="preserve">Band 3 size (loads)</t>
  </si>
  <si>
    <t xml:space="preserve">Band 3 price per load</t>
  </si>
  <si>
    <t xml:space="preserve">Band 4 price per load (above bands 1-3)</t>
  </si>
  <si>
    <t xml:space="preserve">Monthly minimum (all models)</t>
  </si>
  <si>
    <t xml:space="preserve">Pricing model 2: per ACTIVE truck (&gt;=1 load in month)</t>
  </si>
  <si>
    <t xml:space="preserve">Price per active truck per month</t>
  </si>
  <si>
    <t xml:space="preserve">Pricing model 3: hybrid</t>
  </si>
  <si>
    <t xml:space="preserve">Hybrid price per active truck</t>
  </si>
  <si>
    <t xml:space="preserve">Hybrid price per delivered load</t>
  </si>
  <si>
    <t xml:space="preserve">Cost assumptions (non-AI TMS)</t>
  </si>
  <si>
    <t xml:space="preserve">Variable cost per delivered load (SMS, email, doc parse/OCR, maps, storage) [estimate]</t>
  </si>
  <si>
    <t xml:space="preserve">Variable cost per active truck per month (DVIR AI photos, ELD sync, storage) [estimate]</t>
  </si>
  <si>
    <t xml:space="preserve">Payment processing % of revenue (Stripe blended) [3P]</t>
  </si>
  <si>
    <t xml:space="preserve">Payment processing fixed per month</t>
  </si>
  <si>
    <t xml:space="preserve">Competitor reference: Alvys $/load (Abdel's own: ~$1,500/mo at ~3,000 loads)</t>
  </si>
  <si>
    <t xml:space="preserve">Monthly price, effective $/load and gross margin by pricing model</t>
  </si>
  <si>
    <t xml:space="preserve">Line</t>
  </si>
  <si>
    <t xml:space="preserve">Owner-operator (1 truck)</t>
  </si>
  <si>
    <t xml:space="preserve">Small fleet (5 trucks)</t>
  </si>
  <si>
    <t xml:space="preserve">10 trucks</t>
  </si>
  <si>
    <t xml:space="preserve">ANH today (~23 trucks, ~295 loads)</t>
  </si>
  <si>
    <t xml:space="preserve">25 trucks (4 loads/wk)</t>
  </si>
  <si>
    <t xml:space="preserve">100 trucks (4 loads/wk)</t>
  </si>
  <si>
    <t xml:space="preserve">ANH Alvys era (~95 trucks, ~3,000 loads)</t>
  </si>
  <si>
    <t xml:space="preserve">Active trucks</t>
  </si>
  <si>
    <t xml:space="preserve">Delivered loads / month</t>
  </si>
  <si>
    <t xml:space="preserve">Support+success allocation $/mo [placeholder]</t>
  </si>
  <si>
    <t xml:space="preserve">Infra share $/mo [placeholder]</t>
  </si>
  <si>
    <t xml:space="preserve">Variable cost $/mo</t>
  </si>
  <si>
    <t xml:space="preserve">M1 PRICE per delivered load (graduated)</t>
  </si>
  <si>
    <t xml:space="preserve">M1 effective $/load</t>
  </si>
  <si>
    <t xml:space="preserve">M1 gross margin</t>
  </si>
  <si>
    <t xml:space="preserve">M2 PRICE per active truck</t>
  </si>
  <si>
    <t xml:space="preserve">M2 effective $/load</t>
  </si>
  <si>
    <t xml:space="preserve">M2 gross margin</t>
  </si>
  <si>
    <t xml:space="preserve">M3 PRICE hybrid truck + load</t>
  </si>
  <si>
    <t xml:space="preserve">M3 effective $/load</t>
  </si>
  <si>
    <t xml:space="preserve">M3 gross margin</t>
  </si>
  <si>
    <t xml:space="preserve">Alvys-style reference @ $0.50/load (only the 3,000-load point is real)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</si>
</sst>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\$#,##0"/>
    <numFmt numFmtId="166" formatCode="\$0.00"/>
    <numFmt numFmtId="167" formatCode="0.0%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Cambria"/>
      <family val="0"/>
      <charset val="1"/>
    </font>
    <font>
      <b val="true"/>
      <sz val="11"/>
      <name val="Cambria"/>
      <family val="0"/>
      <charset val="1"/>
    </font>
    <font>
      <b val="true"/>
      <sz val="11"/>
      <color rgb="FFFFFFFF"/>
      <name val="Cambria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FFF7D6"/>
        <bgColor rgb="FFFFFFFF"/>
      </patternFill>
    </fill>
    <fill>
      <patternFill patternType="solid">
        <fgColor rgb="FF1F2937"/>
        <bgColor rgb="FF3333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7D6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F2937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8"/>
    <col collapsed="false" customWidth="true" hidden="false" outlineLevel="0" max="2" min="2" style="0" width="12"/>
  </cols>
  <sheetData>
    <row r="1" customFormat="false" ht="16.15" hidden="false" customHeight="false" outlineLevel="0" collapsed="false">
      <c r="A1" s="1" t="s">
        <v>0</v>
      </c>
    </row>
    <row r="3" customFormat="false" ht="15" hidden="false" customHeight="false" outlineLevel="0" collapsed="false">
      <c r="A3" s="2" t="s">
        <v>1</v>
      </c>
    </row>
    <row r="4" customFormat="false" ht="15" hidden="false" customHeight="false" outlineLevel="0" collapsed="false">
      <c r="A4" s="0" t="s">
        <v>2</v>
      </c>
      <c r="B4" s="3" t="n">
        <v>100</v>
      </c>
    </row>
    <row r="5" customFormat="false" ht="15" hidden="false" customHeight="false" outlineLevel="0" collapsed="false">
      <c r="A5" s="0" t="s">
        <v>3</v>
      </c>
      <c r="B5" s="3" t="n">
        <v>1</v>
      </c>
    </row>
    <row r="6" customFormat="false" ht="15" hidden="false" customHeight="false" outlineLevel="0" collapsed="false">
      <c r="A6" s="0" t="s">
        <v>4</v>
      </c>
      <c r="B6" s="3" t="n">
        <v>400</v>
      </c>
    </row>
    <row r="7" customFormat="false" ht="15" hidden="false" customHeight="false" outlineLevel="0" collapsed="false">
      <c r="A7" s="0" t="s">
        <v>5</v>
      </c>
      <c r="B7" s="3" t="n">
        <v>0.75</v>
      </c>
    </row>
    <row r="8" customFormat="false" ht="15" hidden="false" customHeight="false" outlineLevel="0" collapsed="false">
      <c r="A8" s="0" t="s">
        <v>6</v>
      </c>
      <c r="B8" s="3" t="n">
        <v>1500</v>
      </c>
    </row>
    <row r="9" customFormat="false" ht="15" hidden="false" customHeight="false" outlineLevel="0" collapsed="false">
      <c r="A9" s="0" t="s">
        <v>7</v>
      </c>
      <c r="B9" s="3" t="n">
        <v>0.55</v>
      </c>
    </row>
    <row r="10" customFormat="false" ht="15" hidden="false" customHeight="false" outlineLevel="0" collapsed="false">
      <c r="A10" s="0" t="s">
        <v>8</v>
      </c>
      <c r="B10" s="3" t="n">
        <v>0.4</v>
      </c>
    </row>
    <row r="11" customFormat="false" ht="15" hidden="false" customHeight="false" outlineLevel="0" collapsed="false">
      <c r="A11" s="0" t="s">
        <v>9</v>
      </c>
      <c r="B11" s="3" t="n">
        <v>19</v>
      </c>
    </row>
    <row r="12" customFormat="false" ht="15" hidden="false" customHeight="false" outlineLevel="0" collapsed="false">
      <c r="A12" s="2" t="s">
        <v>10</v>
      </c>
    </row>
    <row r="13" customFormat="false" ht="15" hidden="false" customHeight="false" outlineLevel="0" collapsed="false">
      <c r="A13" s="0" t="s">
        <v>11</v>
      </c>
      <c r="B13" s="3" t="n">
        <v>14</v>
      </c>
    </row>
    <row r="14" customFormat="false" ht="15" hidden="false" customHeight="false" outlineLevel="0" collapsed="false">
      <c r="A14" s="2" t="s">
        <v>12</v>
      </c>
    </row>
    <row r="15" customFormat="false" ht="15" hidden="false" customHeight="false" outlineLevel="0" collapsed="false">
      <c r="A15" s="0" t="s">
        <v>13</v>
      </c>
      <c r="B15" s="3" t="n">
        <v>5</v>
      </c>
    </row>
    <row r="16" customFormat="false" ht="15" hidden="false" customHeight="false" outlineLevel="0" collapsed="false">
      <c r="A16" s="0" t="s">
        <v>14</v>
      </c>
      <c r="B16" s="3" t="n">
        <v>0.45</v>
      </c>
    </row>
    <row r="17" customFormat="false" ht="15" hidden="false" customHeight="false" outlineLevel="0" collapsed="false">
      <c r="A17" s="2" t="s">
        <v>15</v>
      </c>
    </row>
    <row r="18" customFormat="false" ht="15" hidden="false" customHeight="false" outlineLevel="0" collapsed="false">
      <c r="A18" s="0" t="s">
        <v>16</v>
      </c>
      <c r="B18" s="3" t="n">
        <v>0.08</v>
      </c>
    </row>
    <row r="19" customFormat="false" ht="15" hidden="false" customHeight="false" outlineLevel="0" collapsed="false">
      <c r="A19" s="0" t="s">
        <v>17</v>
      </c>
      <c r="B19" s="3" t="n">
        <v>1</v>
      </c>
    </row>
    <row r="20" customFormat="false" ht="15" hidden="false" customHeight="false" outlineLevel="0" collapsed="false">
      <c r="A20" s="0" t="s">
        <v>18</v>
      </c>
      <c r="B20" s="3" t="n">
        <v>0.025</v>
      </c>
    </row>
    <row r="21" customFormat="false" ht="15" hidden="false" customHeight="false" outlineLevel="0" collapsed="false">
      <c r="A21" s="0" t="s">
        <v>19</v>
      </c>
      <c r="B21" s="3" t="n">
        <v>0.3</v>
      </c>
    </row>
    <row r="22" customFormat="false" ht="15" hidden="false" customHeight="false" outlineLevel="0" collapsed="false">
      <c r="A22" s="0" t="s">
        <v>20</v>
      </c>
      <c r="B22" s="3" t="n">
        <v>0.5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0"/>
    <col collapsed="false" customWidth="true" hidden="false" outlineLevel="0" max="8" min="2" style="0" width="18"/>
  </cols>
  <sheetData>
    <row r="1" customFormat="false" ht="16.15" hidden="false" customHeight="false" outlineLevel="0" collapsed="false">
      <c r="A1" s="1" t="s">
        <v>21</v>
      </c>
    </row>
    <row r="3" customFormat="false" ht="15" hidden="false" customHeight="false" outlineLevel="0" collapsed="false">
      <c r="A3" s="4" t="s">
        <v>22</v>
      </c>
      <c r="B3" s="4" t="s">
        <v>23</v>
      </c>
      <c r="C3" s="4" t="s">
        <v>24</v>
      </c>
      <c r="D3" s="4" t="s">
        <v>25</v>
      </c>
      <c r="E3" s="4" t="s">
        <v>26</v>
      </c>
      <c r="F3" s="4" t="s">
        <v>27</v>
      </c>
      <c r="G3" s="4" t="s">
        <v>28</v>
      </c>
      <c r="H3" s="4" t="s">
        <v>29</v>
      </c>
    </row>
    <row r="4" customFormat="false" ht="15" hidden="false" customHeight="false" outlineLevel="0" collapsed="false">
      <c r="A4" s="0" t="s">
        <v>30</v>
      </c>
      <c r="B4" s="0" t="n">
        <v>1</v>
      </c>
      <c r="C4" s="0" t="n">
        <v>5</v>
      </c>
      <c r="D4" s="0" t="n">
        <v>10</v>
      </c>
      <c r="E4" s="0" t="n">
        <v>23</v>
      </c>
      <c r="F4" s="0" t="n">
        <v>25</v>
      </c>
      <c r="G4" s="0" t="n">
        <v>100</v>
      </c>
      <c r="H4" s="0" t="n">
        <v>95</v>
      </c>
    </row>
    <row r="5" customFormat="false" ht="15" hidden="false" customHeight="false" outlineLevel="0" collapsed="false">
      <c r="A5" s="0" t="s">
        <v>31</v>
      </c>
      <c r="B5" s="0" t="n">
        <v>17.3</v>
      </c>
      <c r="C5" s="0" t="n">
        <v>86.6</v>
      </c>
      <c r="D5" s="0" t="n">
        <v>173.2</v>
      </c>
      <c r="E5" s="0" t="n">
        <v>295</v>
      </c>
      <c r="F5" s="0" t="n">
        <v>433</v>
      </c>
      <c r="G5" s="0" t="n">
        <v>1732</v>
      </c>
      <c r="H5" s="0" t="n">
        <v>3000</v>
      </c>
    </row>
    <row r="6" customFormat="false" ht="15" hidden="false" customHeight="false" outlineLevel="0" collapsed="false">
      <c r="A6" s="0" t="s">
        <v>32</v>
      </c>
      <c r="B6" s="5" t="n">
        <v>3</v>
      </c>
      <c r="C6" s="5" t="n">
        <v>8</v>
      </c>
      <c r="D6" s="5" t="n">
        <v>15</v>
      </c>
      <c r="E6" s="5" t="n">
        <v>75</v>
      </c>
      <c r="F6" s="5" t="n">
        <v>80</v>
      </c>
      <c r="G6" s="5" t="n">
        <v>400</v>
      </c>
      <c r="H6" s="5" t="n">
        <v>400</v>
      </c>
    </row>
    <row r="7" customFormat="false" ht="15" hidden="false" customHeight="false" outlineLevel="0" collapsed="false">
      <c r="A7" s="0" t="s">
        <v>33</v>
      </c>
      <c r="B7" s="5" t="n">
        <v>1</v>
      </c>
      <c r="C7" s="5" t="n">
        <v>6</v>
      </c>
      <c r="D7" s="5" t="n">
        <v>6</v>
      </c>
      <c r="E7" s="5" t="n">
        <v>12</v>
      </c>
      <c r="F7" s="5" t="n">
        <v>12</v>
      </c>
      <c r="G7" s="5" t="n">
        <v>40</v>
      </c>
      <c r="H7" s="5" t="n">
        <v>40</v>
      </c>
    </row>
    <row r="8" customFormat="false" ht="15" hidden="false" customHeight="false" outlineLevel="0" collapsed="false">
      <c r="A8" s="0" t="s">
        <v>34</v>
      </c>
      <c r="B8" s="5" t="n">
        <f aca="false">B5*Inputs!$B$18+B4*Inputs!$B$19</f>
        <v>2.384</v>
      </c>
      <c r="C8" s="5" t="n">
        <f aca="false">C5*Inputs!$B$18+C4*Inputs!$B$19</f>
        <v>11.928</v>
      </c>
      <c r="D8" s="5" t="n">
        <f aca="false">D5*Inputs!$B$18+D4*Inputs!$B$19</f>
        <v>23.856</v>
      </c>
      <c r="E8" s="5" t="n">
        <f aca="false">E5*Inputs!$B$18+E4*Inputs!$B$19</f>
        <v>46.6</v>
      </c>
      <c r="F8" s="5" t="n">
        <f aca="false">F5*Inputs!$B$18+F4*Inputs!$B$19</f>
        <v>59.64</v>
      </c>
      <c r="G8" s="5" t="n">
        <f aca="false">G5*Inputs!$B$18+G4*Inputs!$B$19</f>
        <v>238.56</v>
      </c>
      <c r="H8" s="5" t="n">
        <f aca="false">H5*Inputs!$B$18+H4*Inputs!$B$19</f>
        <v>335</v>
      </c>
    </row>
    <row r="9" customFormat="false" ht="15" hidden="false" customHeight="false" outlineLevel="0" collapsed="false">
      <c r="A9" s="2" t="s">
        <v>35</v>
      </c>
      <c r="B9" s="6" t="n">
        <f aca="false">MAX(Inputs!$B$11,Inputs!$B$5*MIN(B5,Inputs!$B$4)+Inputs!$B$7*MAX(0,MIN(B5,Inputs!$B$4+Inputs!$B$6)-Inputs!$B$4)+Inputs!$B$9*MAX(0,MIN(B5,Inputs!$B$4+Inputs!$B$6+Inputs!$B$8)-Inputs!$B$4-Inputs!$B$6)+Inputs!$B$10*MAX(0,B5-Inputs!$B$4-Inputs!$B$6-Inputs!$B$8))</f>
        <v>19</v>
      </c>
      <c r="C9" s="6" t="n">
        <f aca="false">MAX(Inputs!$B$11,Inputs!$B$5*MIN(C5,Inputs!$B$4)+Inputs!$B$7*MAX(0,MIN(C5,Inputs!$B$4+Inputs!$B$6)-Inputs!$B$4)+Inputs!$B$9*MAX(0,MIN(C5,Inputs!$B$4+Inputs!$B$6+Inputs!$B$8)-Inputs!$B$4-Inputs!$B$6)+Inputs!$B$10*MAX(0,C5-Inputs!$B$4-Inputs!$B$6-Inputs!$B$8))</f>
        <v>86.6</v>
      </c>
      <c r="D9" s="6" t="n">
        <f aca="false">MAX(Inputs!$B$11,Inputs!$B$5*MIN(D5,Inputs!$B$4)+Inputs!$B$7*MAX(0,MIN(D5,Inputs!$B$4+Inputs!$B$6)-Inputs!$B$4)+Inputs!$B$9*MAX(0,MIN(D5,Inputs!$B$4+Inputs!$B$6+Inputs!$B$8)-Inputs!$B$4-Inputs!$B$6)+Inputs!$B$10*MAX(0,D5-Inputs!$B$4-Inputs!$B$6-Inputs!$B$8))</f>
        <v>154.9</v>
      </c>
      <c r="E9" s="6" t="n">
        <f aca="false">MAX(Inputs!$B$11,Inputs!$B$5*MIN(E5,Inputs!$B$4)+Inputs!$B$7*MAX(0,MIN(E5,Inputs!$B$4+Inputs!$B$6)-Inputs!$B$4)+Inputs!$B$9*MAX(0,MIN(E5,Inputs!$B$4+Inputs!$B$6+Inputs!$B$8)-Inputs!$B$4-Inputs!$B$6)+Inputs!$B$10*MAX(0,E5-Inputs!$B$4-Inputs!$B$6-Inputs!$B$8))</f>
        <v>246.25</v>
      </c>
      <c r="F9" s="6" t="n">
        <f aca="false">MAX(Inputs!$B$11,Inputs!$B$5*MIN(F5,Inputs!$B$4)+Inputs!$B$7*MAX(0,MIN(F5,Inputs!$B$4+Inputs!$B$6)-Inputs!$B$4)+Inputs!$B$9*MAX(0,MIN(F5,Inputs!$B$4+Inputs!$B$6+Inputs!$B$8)-Inputs!$B$4-Inputs!$B$6)+Inputs!$B$10*MAX(0,F5-Inputs!$B$4-Inputs!$B$6-Inputs!$B$8))</f>
        <v>349.75</v>
      </c>
      <c r="G9" s="6" t="n">
        <f aca="false">MAX(Inputs!$B$11,Inputs!$B$5*MIN(G5,Inputs!$B$4)+Inputs!$B$7*MAX(0,MIN(G5,Inputs!$B$4+Inputs!$B$6)-Inputs!$B$4)+Inputs!$B$9*MAX(0,MIN(G5,Inputs!$B$4+Inputs!$B$6+Inputs!$B$8)-Inputs!$B$4-Inputs!$B$6)+Inputs!$B$10*MAX(0,G5-Inputs!$B$4-Inputs!$B$6-Inputs!$B$8))</f>
        <v>1077.6</v>
      </c>
      <c r="H9" s="6" t="n">
        <f aca="false">MAX(Inputs!$B$11,Inputs!$B$5*MIN(H5,Inputs!$B$4)+Inputs!$B$7*MAX(0,MIN(H5,Inputs!$B$4+Inputs!$B$6)-Inputs!$B$4)+Inputs!$B$9*MAX(0,MIN(H5,Inputs!$B$4+Inputs!$B$6+Inputs!$B$8)-Inputs!$B$4-Inputs!$B$6)+Inputs!$B$10*MAX(0,H5-Inputs!$B$4-Inputs!$B$6-Inputs!$B$8))</f>
        <v>1625</v>
      </c>
    </row>
    <row r="10" customFormat="false" ht="15" hidden="false" customHeight="false" outlineLevel="0" collapsed="false">
      <c r="A10" s="0" t="s">
        <v>36</v>
      </c>
      <c r="B10" s="7" t="n">
        <f aca="false">B9/B5</f>
        <v>1.09826589595376</v>
      </c>
      <c r="C10" s="7" t="n">
        <f aca="false">C9/C5</f>
        <v>1</v>
      </c>
      <c r="D10" s="7" t="n">
        <f aca="false">D9/D5</f>
        <v>0.894341801385681</v>
      </c>
      <c r="E10" s="7" t="n">
        <f aca="false">E9/E5</f>
        <v>0.834745762711864</v>
      </c>
      <c r="F10" s="7" t="n">
        <f aca="false">F9/F5</f>
        <v>0.807736720554273</v>
      </c>
      <c r="G10" s="7" t="n">
        <f aca="false">G9/G5</f>
        <v>0.622170900692841</v>
      </c>
      <c r="H10" s="7" t="n">
        <f aca="false">H9/H5</f>
        <v>0.541666666666667</v>
      </c>
    </row>
    <row r="11" customFormat="false" ht="15" hidden="false" customHeight="false" outlineLevel="0" collapsed="false">
      <c r="A11" s="2" t="s">
        <v>37</v>
      </c>
      <c r="B11" s="8" t="n">
        <f aca="false">(B9-(B8+B6+B7)-(Inputs!$B$20*B9+Inputs!$B$21))/B9</f>
        <v>0.623210526315789</v>
      </c>
      <c r="C11" s="8" t="n">
        <f aca="false">(C9-(C8+C6+C7)-(Inputs!$B$20*C9+Inputs!$B$21))/C9</f>
        <v>0.672136258660508</v>
      </c>
      <c r="D11" s="8" t="n">
        <f aca="false">(D9-(D8+D6+D7)-(Inputs!$B$20*D9+Inputs!$B$21))/D9</f>
        <v>0.683482892188509</v>
      </c>
      <c r="E11" s="8" t="n">
        <f aca="false">(E9-(E8+E6+E7)-(Inputs!$B$20*E9+Inputs!$B$21))/E9</f>
        <v>0.431243654822335</v>
      </c>
      <c r="F11" s="8" t="n">
        <f aca="false">(F9-(F8+F6+F7)-(Inputs!$B$20*F9+Inputs!$B$21))/F9</f>
        <v>0.540575411007863</v>
      </c>
      <c r="G11" s="8" t="n">
        <f aca="false">(G9-(G8+G6+G7)-(Inputs!$B$20*G9+Inputs!$B$21))/G9</f>
        <v>0.345025983667409</v>
      </c>
      <c r="H11" s="8" t="n">
        <f aca="false">(H9-(H8+H6+H7)-(Inputs!$B$20*H9+Inputs!$B$21))/H9</f>
        <v>0.497892307692308</v>
      </c>
    </row>
    <row r="12" customFormat="false" ht="15" hidden="false" customHeight="false" outlineLevel="0" collapsed="false">
      <c r="A12" s="2" t="s">
        <v>38</v>
      </c>
      <c r="B12" s="6" t="n">
        <f aca="false">MAX(Inputs!$B$11,Inputs!$B$13*B4)</f>
        <v>19</v>
      </c>
      <c r="C12" s="6" t="n">
        <f aca="false">MAX(Inputs!$B$11,Inputs!$B$13*C4)</f>
        <v>70</v>
      </c>
      <c r="D12" s="6" t="n">
        <f aca="false">MAX(Inputs!$B$11,Inputs!$B$13*D4)</f>
        <v>140</v>
      </c>
      <c r="E12" s="6" t="n">
        <f aca="false">MAX(Inputs!$B$11,Inputs!$B$13*E4)</f>
        <v>322</v>
      </c>
      <c r="F12" s="6" t="n">
        <f aca="false">MAX(Inputs!$B$11,Inputs!$B$13*F4)</f>
        <v>350</v>
      </c>
      <c r="G12" s="6" t="n">
        <f aca="false">MAX(Inputs!$B$11,Inputs!$B$13*G4)</f>
        <v>1400</v>
      </c>
      <c r="H12" s="6" t="n">
        <f aca="false">MAX(Inputs!$B$11,Inputs!$B$13*H4)</f>
        <v>1330</v>
      </c>
    </row>
    <row r="13" customFormat="false" ht="15" hidden="false" customHeight="false" outlineLevel="0" collapsed="false">
      <c r="A13" s="0" t="s">
        <v>39</v>
      </c>
      <c r="B13" s="7" t="n">
        <f aca="false">B12/B5</f>
        <v>1.09826589595376</v>
      </c>
      <c r="C13" s="7" t="n">
        <f aca="false">C12/C5</f>
        <v>0.808314087759815</v>
      </c>
      <c r="D13" s="7" t="n">
        <f aca="false">D12/D5</f>
        <v>0.808314087759815</v>
      </c>
      <c r="E13" s="7" t="n">
        <f aca="false">E12/E5</f>
        <v>1.09152542372881</v>
      </c>
      <c r="F13" s="7" t="n">
        <f aca="false">F12/F5</f>
        <v>0.808314087759815</v>
      </c>
      <c r="G13" s="7" t="n">
        <f aca="false">G12/G5</f>
        <v>0.808314087759815</v>
      </c>
      <c r="H13" s="7" t="n">
        <f aca="false">H12/H5</f>
        <v>0.443333333333333</v>
      </c>
    </row>
    <row r="14" customFormat="false" ht="15" hidden="false" customHeight="false" outlineLevel="0" collapsed="false">
      <c r="A14" s="2" t="s">
        <v>40</v>
      </c>
      <c r="B14" s="8" t="n">
        <f aca="false">(B12-(B8+B6+B7)-(Inputs!$B$20*B12+Inputs!$B$21))/B12</f>
        <v>0.623210526315789</v>
      </c>
      <c r="C14" s="8" t="n">
        <f aca="false">(C12-(C8+C6+C7)-(Inputs!$B$20*C12+Inputs!$B$21))/C12</f>
        <v>0.600314285714286</v>
      </c>
      <c r="D14" s="8" t="n">
        <f aca="false">(D12-(D8+D6+D7)-(Inputs!$B$20*D12+Inputs!$B$21))/D12</f>
        <v>0.652457142857143</v>
      </c>
      <c r="E14" s="8" t="n">
        <f aca="false">(E12-(E8+E6+E7)-(Inputs!$B$20*E12+Inputs!$B$21))/E12</f>
        <v>0.55916149068323</v>
      </c>
      <c r="F14" s="8" t="n">
        <f aca="false">(F12-(F8+F6+F7)-(Inputs!$B$20*F12+Inputs!$B$21))/F12</f>
        <v>0.540885714285714</v>
      </c>
      <c r="G14" s="8" t="n">
        <f aca="false">(G12-(G8+G6+G7)-(Inputs!$B$20*G12+Inputs!$B$21))/G12</f>
        <v>0.4901</v>
      </c>
      <c r="H14" s="8" t="n">
        <f aca="false">(H12-(H8+H6+H7)-(Inputs!$B$20*H12+Inputs!$B$21))/H12</f>
        <v>0.392067669172932</v>
      </c>
    </row>
    <row r="15" customFormat="false" ht="15" hidden="false" customHeight="false" outlineLevel="0" collapsed="false">
      <c r="A15" s="2" t="s">
        <v>41</v>
      </c>
      <c r="B15" s="6" t="n">
        <f aca="false">MAX(Inputs!$B$11,Inputs!$B$15*B4+Inputs!$B$16*B5)</f>
        <v>19</v>
      </c>
      <c r="C15" s="6" t="n">
        <f aca="false">MAX(Inputs!$B$11,Inputs!$B$15*C4+Inputs!$B$16*C5)</f>
        <v>63.97</v>
      </c>
      <c r="D15" s="6" t="n">
        <f aca="false">MAX(Inputs!$B$11,Inputs!$B$15*D4+Inputs!$B$16*D5)</f>
        <v>127.94</v>
      </c>
      <c r="E15" s="6" t="n">
        <f aca="false">MAX(Inputs!$B$11,Inputs!$B$15*E4+Inputs!$B$16*E5)</f>
        <v>247.75</v>
      </c>
      <c r="F15" s="6" t="n">
        <f aca="false">MAX(Inputs!$B$11,Inputs!$B$15*F4+Inputs!$B$16*F5)</f>
        <v>319.85</v>
      </c>
      <c r="G15" s="6" t="n">
        <f aca="false">MAX(Inputs!$B$11,Inputs!$B$15*G4+Inputs!$B$16*G5)</f>
        <v>1279.4</v>
      </c>
      <c r="H15" s="6" t="n">
        <f aca="false">MAX(Inputs!$B$11,Inputs!$B$15*H4+Inputs!$B$16*H5)</f>
        <v>1825</v>
      </c>
    </row>
    <row r="16" customFormat="false" ht="15" hidden="false" customHeight="false" outlineLevel="0" collapsed="false">
      <c r="A16" s="0" t="s">
        <v>42</v>
      </c>
      <c r="B16" s="7" t="n">
        <f aca="false">B15/B5</f>
        <v>1.09826589595376</v>
      </c>
      <c r="C16" s="7" t="n">
        <f aca="false">C15/C5</f>
        <v>0.738683602771363</v>
      </c>
      <c r="D16" s="7" t="n">
        <f aca="false">D15/D5</f>
        <v>0.738683602771363</v>
      </c>
      <c r="E16" s="7" t="n">
        <f aca="false">E15/E5</f>
        <v>0.839830508474576</v>
      </c>
      <c r="F16" s="7" t="n">
        <f aca="false">F15/F5</f>
        <v>0.738683602771363</v>
      </c>
      <c r="G16" s="7" t="n">
        <f aca="false">G15/G5</f>
        <v>0.738683602771363</v>
      </c>
      <c r="H16" s="7" t="n">
        <f aca="false">H15/H5</f>
        <v>0.608333333333333</v>
      </c>
    </row>
    <row r="17" customFormat="false" ht="15" hidden="false" customHeight="false" outlineLevel="0" collapsed="false">
      <c r="A17" s="2" t="s">
        <v>43</v>
      </c>
      <c r="B17" s="8" t="n">
        <f aca="false">(B15-(B8+B6+B7)-(Inputs!$B$20*B15+Inputs!$B$21))/B15</f>
        <v>0.623210526315789</v>
      </c>
      <c r="C17" s="8" t="n">
        <f aca="false">(C15-(C8+C6+C7)-(Inputs!$B$20*C15+Inputs!$B$21))/C15</f>
        <v>0.564995310301704</v>
      </c>
      <c r="D17" s="8" t="n">
        <f aca="false">(D15-(D8+D6+D7)-(Inputs!$B$20*D15+Inputs!$B$21))/D15</f>
        <v>0.622053306237299</v>
      </c>
      <c r="E17" s="8" t="n">
        <f aca="false">(E15-(E8+E6+E7)-(Inputs!$B$20*E15+Inputs!$B$21))/E15</f>
        <v>0.434535822401615</v>
      </c>
      <c r="F17" s="8" t="n">
        <f aca="false">(F15-(F8+F6+F7)-(Inputs!$B$20*F15+Inputs!$B$21))/F15</f>
        <v>0.49996482726278</v>
      </c>
      <c r="G17" s="8" t="n">
        <f aca="false">(G15-(G8+G6+G7)-(Inputs!$B$20*G15+Inputs!$B$21))/G15</f>
        <v>0.444391902454276</v>
      </c>
      <c r="H17" s="8" t="n">
        <f aca="false">(H15-(H8+H6+H7)-(Inputs!$B$20*H15+Inputs!$B$21))/H15</f>
        <v>0.550178082191781</v>
      </c>
    </row>
    <row r="18" customFormat="false" ht="15" hidden="false" customHeight="false" outlineLevel="0" collapsed="false">
      <c r="A18" s="0" t="s">
        <v>44</v>
      </c>
      <c r="B18" s="5" t="n">
        <f aca="false">B5*Inputs!$B$22</f>
        <v>8.65</v>
      </c>
      <c r="C18" s="5" t="n">
        <f aca="false">C5*Inputs!$B$22</f>
        <v>43.3</v>
      </c>
      <c r="D18" s="5" t="n">
        <f aca="false">D5*Inputs!$B$22</f>
        <v>86.6</v>
      </c>
      <c r="E18" s="5" t="n">
        <f aca="false">E5*Inputs!$B$22</f>
        <v>147.5</v>
      </c>
      <c r="F18" s="5" t="n">
        <f aca="false">F5*Inputs!$B$22</f>
        <v>216.5</v>
      </c>
      <c r="G18" s="5" t="n">
        <f aca="false">G5*Inputs!$B$22</f>
        <v>866</v>
      </c>
      <c r="H18" s="5" t="n">
        <f aca="false">H5*Inputs!$B$22</f>
        <v>1500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2026-10-10T02:54:35Z</dcterms:created>
  <dc:creator>openpyxl</dc:creator>
  <dc:description/>
  <dc:language>en-US</dc:language>
  <cp:lastModifiedBy/>
  <dcterms:modified xsi:type="dcterms:W3CDTF">2026-10-10T02:54:35Z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